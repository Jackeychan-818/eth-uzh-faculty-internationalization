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Jahr</t>
        </is>
      </c>
      <c r="B1" t="inlineStr">
        <is>
          <t>2006</t>
        </is>
      </c>
      <c r="C1" t="inlineStr">
        <is>
          <t>2007</t>
        </is>
      </c>
      <c r="D1" t="inlineStr">
        <is>
          <t>2008</t>
        </is>
      </c>
      <c r="E1" t="inlineStr">
        <is>
          <t>2009</t>
        </is>
      </c>
      <c r="F1" t="inlineStr">
        <is>
          <t>2010</t>
        </is>
      </c>
      <c r="G1" t="inlineStr">
        <is>
          <t>2011</t>
        </is>
      </c>
      <c r="H1" t="inlineStr">
        <is>
          <t>2012</t>
        </is>
      </c>
      <c r="I1" t="inlineStr">
        <is>
          <t>2013</t>
        </is>
      </c>
      <c r="J1" t="inlineStr">
        <is>
          <t>2014</t>
        </is>
      </c>
      <c r="K1" t="inlineStr">
        <is>
          <t>2015</t>
        </is>
      </c>
      <c r="L1" t="inlineStr">
        <is>
          <t>2016</t>
        </is>
      </c>
      <c r="M1" t="inlineStr">
        <is>
          <t>2017</t>
        </is>
      </c>
      <c r="N1" t="inlineStr">
        <is>
          <t>2018</t>
        </is>
      </c>
      <c r="O1" t="inlineStr">
        <is>
          <t>2019</t>
        </is>
      </c>
      <c r="P1" t="inlineStr">
        <is>
          <t>2020</t>
        </is>
      </c>
      <c r="Q1" t="inlineStr">
        <is>
          <t>2021</t>
        </is>
      </c>
      <c r="R1" t="inlineStr">
        <is>
          <t>2022</t>
        </is>
      </c>
      <c r="S1" t="inlineStr">
        <is>
          <t>2023</t>
        </is>
      </c>
      <c r="T1" t="inlineStr">
        <is>
          <t>2024</t>
        </is>
      </c>
      <c r="U1" t="inlineStr">
        <is>
          <t>2025</t>
        </is>
      </c>
      <c r="V1" t="inlineStr">
        <is>
          <t>2006</t>
        </is>
      </c>
      <c r="W1" t="inlineStr">
        <is>
          <t>2007</t>
        </is>
      </c>
      <c r="X1" t="inlineStr">
        <is>
          <t>2008</t>
        </is>
      </c>
      <c r="Y1" t="inlineStr">
        <is>
          <t>2009</t>
        </is>
      </c>
      <c r="Z1" t="inlineStr">
        <is>
          <t>2010</t>
        </is>
      </c>
      <c r="AA1" t="inlineStr">
        <is>
          <t>2011</t>
        </is>
      </c>
      <c r="AB1" t="inlineStr">
        <is>
          <t>2012</t>
        </is>
      </c>
      <c r="AC1" t="inlineStr">
        <is>
          <t>2013</t>
        </is>
      </c>
      <c r="AD1" t="inlineStr">
        <is>
          <t>2014</t>
        </is>
      </c>
      <c r="AE1" t="inlineStr">
        <is>
          <t>2015</t>
        </is>
      </c>
      <c r="AF1" t="inlineStr">
        <is>
          <t>2016</t>
        </is>
      </c>
      <c r="AG1" t="inlineStr">
        <is>
          <t>2017</t>
        </is>
      </c>
      <c r="AH1" t="inlineStr">
        <is>
          <t>2018</t>
        </is>
      </c>
      <c r="AI1" t="inlineStr">
        <is>
          <t>2019</t>
        </is>
      </c>
      <c r="AJ1" t="inlineStr">
        <is>
          <t>2020</t>
        </is>
      </c>
      <c r="AK1" t="inlineStr">
        <is>
          <t>2021</t>
        </is>
      </c>
      <c r="AL1" t="inlineStr">
        <is>
          <t>2022</t>
        </is>
      </c>
      <c r="AM1" t="inlineStr">
        <is>
          <t>2023</t>
        </is>
      </c>
      <c r="AN1" t="inlineStr">
        <is>
          <t>2024</t>
        </is>
      </c>
      <c r="AO1" t="inlineStr">
        <is>
          <t>2025</t>
        </is>
      </c>
    </row>
    <row r="2">
      <c r="A2" t="inlineStr"/>
      <c r="B2" t="inlineStr">
        <is>
          <t>Total</t>
        </is>
      </c>
      <c r="C2" t="inlineStr">
        <is>
          <t>Total</t>
        </is>
      </c>
      <c r="D2" t="inlineStr">
        <is>
          <t>Total</t>
        </is>
      </c>
      <c r="E2" t="inlineStr">
        <is>
          <t>Total</t>
        </is>
      </c>
      <c r="F2" t="inlineStr">
        <is>
          <t>Total</t>
        </is>
      </c>
      <c r="G2" t="inlineStr">
        <is>
          <t>Total</t>
        </is>
      </c>
      <c r="H2" t="inlineStr">
        <is>
          <t>Total</t>
        </is>
      </c>
      <c r="I2" t="inlineStr">
        <is>
          <t>Total</t>
        </is>
      </c>
      <c r="J2" t="inlineStr">
        <is>
          <t>Total</t>
        </is>
      </c>
      <c r="K2" t="inlineStr">
        <is>
          <t>Total</t>
        </is>
      </c>
      <c r="L2" t="inlineStr">
        <is>
          <t>Total</t>
        </is>
      </c>
      <c r="M2" t="inlineStr">
        <is>
          <t>Total</t>
        </is>
      </c>
      <c r="N2" t="inlineStr">
        <is>
          <t>Total</t>
        </is>
      </c>
      <c r="O2" t="inlineStr">
        <is>
          <t>Total</t>
        </is>
      </c>
      <c r="P2" t="inlineStr">
        <is>
          <t>Total</t>
        </is>
      </c>
      <c r="Q2" t="inlineStr">
        <is>
          <t>Total</t>
        </is>
      </c>
      <c r="R2" t="inlineStr">
        <is>
          <t>Total</t>
        </is>
      </c>
      <c r="S2" t="inlineStr">
        <is>
          <t>Total</t>
        </is>
      </c>
      <c r="T2" t="inlineStr">
        <is>
          <t>Total</t>
        </is>
      </c>
      <c r="U2" t="inlineStr">
        <is>
          <t>Total</t>
        </is>
      </c>
      <c r="V2" t="inlineStr">
        <is>
          <t>Ausländer %</t>
        </is>
      </c>
      <c r="W2" t="inlineStr">
        <is>
          <t>Ausländer %</t>
        </is>
      </c>
      <c r="X2" t="inlineStr">
        <is>
          <t>Ausländer %</t>
        </is>
      </c>
      <c r="Y2" t="inlineStr">
        <is>
          <t>Ausländer %</t>
        </is>
      </c>
      <c r="Z2" t="inlineStr">
        <is>
          <t>Ausländer %</t>
        </is>
      </c>
      <c r="AA2" t="inlineStr">
        <is>
          <t>Ausländer %</t>
        </is>
      </c>
      <c r="AB2" t="inlineStr">
        <is>
          <t>Ausländer %</t>
        </is>
      </c>
      <c r="AC2" t="inlineStr">
        <is>
          <t>Ausländer %</t>
        </is>
      </c>
      <c r="AD2" t="inlineStr">
        <is>
          <t>Ausländer %</t>
        </is>
      </c>
      <c r="AE2" t="inlineStr">
        <is>
          <t>Ausländer %</t>
        </is>
      </c>
      <c r="AF2" t="inlineStr">
        <is>
          <t>Ausländer %</t>
        </is>
      </c>
      <c r="AG2" t="inlineStr">
        <is>
          <t>Ausländer %</t>
        </is>
      </c>
      <c r="AH2" t="inlineStr">
        <is>
          <t>Ausländer %</t>
        </is>
      </c>
      <c r="AI2" t="inlineStr">
        <is>
          <t>Ausländer %</t>
        </is>
      </c>
      <c r="AJ2" t="inlineStr">
        <is>
          <t>Ausländer %</t>
        </is>
      </c>
      <c r="AK2" t="inlineStr">
        <is>
          <t>Ausländer %</t>
        </is>
      </c>
      <c r="AL2" t="inlineStr">
        <is>
          <t>Ausländer %</t>
        </is>
      </c>
      <c r="AM2" t="inlineStr">
        <is>
          <t>Ausländer %</t>
        </is>
      </c>
      <c r="AN2" t="inlineStr">
        <is>
          <t>Ausländer %</t>
        </is>
      </c>
      <c r="AO2" t="inlineStr">
        <is>
          <t>Ausländer %</t>
        </is>
      </c>
    </row>
    <row r="4">
      <c r="A4">
        <f>== ETH Overall ===</f>
        <v/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Full Professors</t>
        </is>
      </c>
      <c r="B5" t="n">
        <v>307.8</v>
      </c>
      <c r="C5" t="n">
        <v>309.3</v>
      </c>
      <c r="D5" t="n">
        <v>312.5</v>
      </c>
      <c r="E5" t="n">
        <v>322.3</v>
      </c>
      <c r="F5" t="n">
        <v>342.5</v>
      </c>
      <c r="G5" t="n">
        <v>349</v>
      </c>
      <c r="H5" t="n">
        <v>361.4</v>
      </c>
      <c r="I5" t="n">
        <v>383.9</v>
      </c>
      <c r="J5" t="n">
        <v>382.2</v>
      </c>
      <c r="K5" t="n">
        <v>386.9</v>
      </c>
      <c r="L5" t="n">
        <v>386.5</v>
      </c>
      <c r="M5" t="n">
        <v>403.4</v>
      </c>
      <c r="N5" t="n">
        <v>397.4</v>
      </c>
      <c r="O5" t="n">
        <v>398.5</v>
      </c>
      <c r="P5" t="n">
        <v>407.7</v>
      </c>
      <c r="Q5" t="n">
        <v>410.4</v>
      </c>
      <c r="R5" t="n">
        <v>410.1</v>
      </c>
      <c r="S5" t="n">
        <v>411.3</v>
      </c>
      <c r="T5" t="n">
        <v>417.3</v>
      </c>
      <c r="U5" t="n">
        <v>411.1</v>
      </c>
      <c r="V5" t="n">
        <v>62.9</v>
      </c>
      <c r="W5" t="n">
        <v>64.8</v>
      </c>
      <c r="X5" t="n">
        <v>65.40000000000001</v>
      </c>
      <c r="Y5" t="n">
        <v>66.5</v>
      </c>
      <c r="Z5" t="n">
        <v>67</v>
      </c>
      <c r="AA5" t="n">
        <v>69.8</v>
      </c>
      <c r="AB5" t="n">
        <v>68.40000000000001</v>
      </c>
      <c r="AC5" t="n">
        <v>67.59999999999999</v>
      </c>
      <c r="AD5" t="n">
        <v>67.3</v>
      </c>
      <c r="AE5" t="n">
        <v>67.40000000000001</v>
      </c>
      <c r="AF5" t="n">
        <v>66.8</v>
      </c>
      <c r="AG5" t="n">
        <v>66.2</v>
      </c>
      <c r="AH5" t="n">
        <v>64.59999999999999</v>
      </c>
      <c r="AI5" t="n">
        <v>64.2</v>
      </c>
      <c r="AJ5" t="n">
        <v>64.59999999999999</v>
      </c>
      <c r="AK5" t="n">
        <v>64.40000000000001</v>
      </c>
      <c r="AL5" t="n">
        <v>64.40000000000001</v>
      </c>
      <c r="AM5" t="n">
        <v>63.3</v>
      </c>
      <c r="AN5" t="n">
        <v>61.9</v>
      </c>
      <c r="AO5" t="n">
        <v>61.8</v>
      </c>
    </row>
    <row r="6">
      <c r="A6" t="inlineStr">
        <is>
          <t>Assistant Professors</t>
        </is>
      </c>
      <c r="B6" t="n">
        <v>49.7</v>
      </c>
      <c r="C6" t="n">
        <v>54.3</v>
      </c>
      <c r="D6" t="n">
        <v>54.1</v>
      </c>
      <c r="E6" t="n">
        <v>61.2</v>
      </c>
      <c r="F6" t="n">
        <v>64.5</v>
      </c>
      <c r="G6" t="n">
        <v>74.40000000000001</v>
      </c>
      <c r="H6" t="n">
        <v>80.09999999999999</v>
      </c>
      <c r="I6" t="n">
        <v>77.3</v>
      </c>
      <c r="J6" t="n">
        <v>75.59999999999999</v>
      </c>
      <c r="K6" t="n">
        <v>80.5</v>
      </c>
      <c r="L6" t="n">
        <v>90</v>
      </c>
      <c r="M6" t="n">
        <v>92.5</v>
      </c>
      <c r="N6" t="n">
        <v>89.90000000000001</v>
      </c>
      <c r="O6" t="n">
        <v>101.3</v>
      </c>
      <c r="P6" t="n">
        <v>109.9</v>
      </c>
      <c r="Q6" t="n">
        <v>108.4</v>
      </c>
      <c r="R6" t="n">
        <v>106.4</v>
      </c>
      <c r="S6" t="n">
        <v>102.1</v>
      </c>
      <c r="T6" t="n">
        <v>103.7</v>
      </c>
      <c r="U6" t="n">
        <v>97.8</v>
      </c>
      <c r="V6" t="n">
        <v>51.7</v>
      </c>
      <c r="W6" t="n">
        <v>52.1</v>
      </c>
      <c r="X6" t="n">
        <v>59.3</v>
      </c>
      <c r="Y6" t="n">
        <v>62.4</v>
      </c>
      <c r="Z6" t="n">
        <v>67.8</v>
      </c>
      <c r="AA6" t="n">
        <v>77</v>
      </c>
      <c r="AB6" t="n">
        <v>76.5</v>
      </c>
      <c r="AC6" t="n">
        <v>80.2</v>
      </c>
      <c r="AD6" t="n">
        <v>77.09999999999999</v>
      </c>
      <c r="AE6" t="n">
        <v>80.7</v>
      </c>
      <c r="AF6" t="n">
        <v>78.90000000000001</v>
      </c>
      <c r="AG6" t="n">
        <v>77.09999999999999</v>
      </c>
      <c r="AH6" t="n">
        <v>79.8</v>
      </c>
      <c r="AI6" t="n">
        <v>77.3</v>
      </c>
      <c r="AJ6" t="n">
        <v>78.90000000000001</v>
      </c>
      <c r="AK6" t="n">
        <v>83</v>
      </c>
      <c r="AL6" t="n">
        <v>82</v>
      </c>
      <c r="AM6" t="n">
        <v>84.09999999999999</v>
      </c>
      <c r="AN6" t="n">
        <v>81.59999999999999</v>
      </c>
      <c r="AO6" t="n">
        <v>81.40000000000001</v>
      </c>
    </row>
    <row r="7">
      <c r="A7" t="inlineStr">
        <is>
          <t>All Professors (Full + Assistant)</t>
        </is>
      </c>
      <c r="B7" t="n">
        <v>357.5</v>
      </c>
      <c r="C7" t="n">
        <v>363.6</v>
      </c>
      <c r="D7" t="n">
        <v>366.6</v>
      </c>
      <c r="E7" t="n">
        <v>383.5</v>
      </c>
      <c r="F7" t="n">
        <v>407</v>
      </c>
      <c r="G7" t="n">
        <v>423.4</v>
      </c>
      <c r="H7" t="n">
        <v>441.5</v>
      </c>
      <c r="I7" t="n">
        <v>461.2</v>
      </c>
      <c r="J7" t="n">
        <v>457.8</v>
      </c>
      <c r="K7" t="n">
        <v>467.4</v>
      </c>
      <c r="L7" t="n">
        <v>476.5</v>
      </c>
      <c r="M7" t="n">
        <v>495.9</v>
      </c>
      <c r="N7" t="n">
        <v>487.3</v>
      </c>
      <c r="O7" t="n">
        <v>499.8</v>
      </c>
      <c r="P7" t="n">
        <v>517.6</v>
      </c>
      <c r="Q7" t="n">
        <v>518.8</v>
      </c>
      <c r="R7" t="n">
        <v>516.5</v>
      </c>
      <c r="S7" t="n">
        <v>513.4</v>
      </c>
      <c r="T7" t="n">
        <v>521</v>
      </c>
      <c r="U7" t="n">
        <v>508.9</v>
      </c>
      <c r="V7" t="n">
        <v>61.3</v>
      </c>
      <c r="W7" t="n">
        <v>62.9</v>
      </c>
      <c r="X7" t="n">
        <v>64.5</v>
      </c>
      <c r="Y7" t="n">
        <v>65.8</v>
      </c>
      <c r="Z7" t="n">
        <v>67.09999999999999</v>
      </c>
      <c r="AA7" t="n">
        <v>71</v>
      </c>
      <c r="AB7" t="n">
        <v>69.90000000000001</v>
      </c>
      <c r="AC7" t="n">
        <v>69.8</v>
      </c>
      <c r="AD7" t="n">
        <v>68.90000000000001</v>
      </c>
      <c r="AE7" t="n">
        <v>69.7</v>
      </c>
      <c r="AF7" t="n">
        <v>69</v>
      </c>
      <c r="AG7" t="n">
        <v>68.2</v>
      </c>
      <c r="AH7" t="n">
        <v>67.40000000000001</v>
      </c>
      <c r="AI7" t="n">
        <v>66.90000000000001</v>
      </c>
      <c r="AJ7" t="n">
        <v>67.59999999999999</v>
      </c>
      <c r="AK7" t="n">
        <v>68.3</v>
      </c>
      <c r="AL7" t="n">
        <v>68.09999999999999</v>
      </c>
      <c r="AM7" t="n">
        <v>67.40000000000001</v>
      </c>
      <c r="AN7" t="n">
        <v>65.8</v>
      </c>
      <c r="AO7" t="n">
        <v>65.5</v>
      </c>
    </row>
    <row r="8">
      <c r="A8">
        <f>== Architektur und Bauwissenschaften ===</f>
        <v/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 xml:space="preserve">  [Faculty total] Full Professors</t>
        </is>
      </c>
      <c r="B9" t="n">
        <v>50.8</v>
      </c>
      <c r="C9" t="n">
        <v>49.8</v>
      </c>
      <c r="D9" t="n">
        <v>48.9</v>
      </c>
      <c r="E9" t="n">
        <v>50.3</v>
      </c>
      <c r="F9" t="n">
        <v>52.8</v>
      </c>
      <c r="G9" t="n">
        <v>56.3</v>
      </c>
      <c r="H9" t="n">
        <v>60.8</v>
      </c>
      <c r="I9" t="n">
        <v>59.8</v>
      </c>
      <c r="J9" t="n">
        <v>57.9</v>
      </c>
      <c r="K9" t="n">
        <v>56.2</v>
      </c>
      <c r="L9" t="n">
        <v>56.2</v>
      </c>
      <c r="M9" t="n">
        <v>60.7</v>
      </c>
      <c r="N9" t="n">
        <v>60.3</v>
      </c>
      <c r="O9" t="n">
        <v>59.1</v>
      </c>
      <c r="P9" t="n">
        <v>60.4</v>
      </c>
      <c r="Q9" t="n">
        <v>59.9</v>
      </c>
      <c r="R9" t="n">
        <v>57.7</v>
      </c>
      <c r="S9" t="n">
        <v>59</v>
      </c>
      <c r="T9" t="n">
        <v>63.4</v>
      </c>
      <c r="U9" t="n">
        <v>62.4</v>
      </c>
      <c r="V9" t="n">
        <v>50.8</v>
      </c>
      <c r="W9" t="n">
        <v>53.8</v>
      </c>
      <c r="X9" t="n">
        <v>54.8</v>
      </c>
      <c r="Y9" t="n">
        <v>53.3</v>
      </c>
      <c r="Z9" t="n">
        <v>51.7</v>
      </c>
      <c r="AA9" t="n">
        <v>54.7</v>
      </c>
      <c r="AB9" t="n">
        <v>54.8</v>
      </c>
      <c r="AC9" t="n">
        <v>52.3</v>
      </c>
      <c r="AD9" t="n">
        <v>52.7</v>
      </c>
      <c r="AE9" t="n">
        <v>54.3</v>
      </c>
      <c r="AF9" t="n">
        <v>56</v>
      </c>
      <c r="AG9" t="n">
        <v>57.7</v>
      </c>
      <c r="AH9" t="n">
        <v>55.7</v>
      </c>
      <c r="AI9" t="n">
        <v>57.2</v>
      </c>
      <c r="AJ9" t="n">
        <v>56.5</v>
      </c>
      <c r="AK9" t="n">
        <v>56.8</v>
      </c>
      <c r="AL9" t="n">
        <v>55.8</v>
      </c>
      <c r="AM9" t="n">
        <v>58.3</v>
      </c>
      <c r="AN9" t="n">
        <v>57.1</v>
      </c>
      <c r="AO9" t="n">
        <v>58</v>
      </c>
    </row>
    <row r="10">
      <c r="A10" t="inlineStr">
        <is>
          <t xml:space="preserve">  [Faculty total] Assistant Professors</t>
        </is>
      </c>
      <c r="B10" t="n">
        <v>5.9</v>
      </c>
      <c r="C10" t="n">
        <v>5.2</v>
      </c>
      <c r="D10" t="n">
        <v>4.2</v>
      </c>
      <c r="E10" t="n">
        <v>6.2</v>
      </c>
      <c r="F10" t="n">
        <v>9</v>
      </c>
      <c r="G10" t="n">
        <v>9</v>
      </c>
      <c r="H10" t="n">
        <v>10</v>
      </c>
      <c r="I10" t="n">
        <v>11</v>
      </c>
      <c r="J10" t="n">
        <v>7.3</v>
      </c>
      <c r="K10" t="n">
        <v>8</v>
      </c>
      <c r="L10" t="n">
        <v>8</v>
      </c>
      <c r="M10" t="n">
        <v>8</v>
      </c>
      <c r="N10" t="n">
        <v>9</v>
      </c>
      <c r="O10" t="n">
        <v>11</v>
      </c>
      <c r="P10" t="n">
        <v>11</v>
      </c>
      <c r="Q10" t="n">
        <v>10</v>
      </c>
      <c r="R10" t="n">
        <v>8</v>
      </c>
      <c r="S10" t="n">
        <v>6</v>
      </c>
      <c r="T10" t="n">
        <v>5</v>
      </c>
      <c r="U10" t="n">
        <v>3</v>
      </c>
      <c r="V10" t="n">
        <v>28.8</v>
      </c>
      <c r="W10" t="n">
        <v>19.2</v>
      </c>
      <c r="X10" t="n">
        <v>23.8</v>
      </c>
      <c r="Y10" t="n">
        <v>32.3</v>
      </c>
      <c r="Z10" t="n">
        <v>77.8</v>
      </c>
      <c r="AA10" t="n">
        <v>88.90000000000001</v>
      </c>
      <c r="AB10" t="n">
        <v>90</v>
      </c>
      <c r="AC10" t="n">
        <v>90.90000000000001</v>
      </c>
      <c r="AD10" t="n">
        <v>86.3</v>
      </c>
      <c r="AE10" t="n">
        <v>87.5</v>
      </c>
      <c r="AF10" t="n">
        <v>87.5</v>
      </c>
      <c r="AG10" t="n">
        <v>75</v>
      </c>
      <c r="AH10" t="n">
        <v>77.8</v>
      </c>
      <c r="AI10" t="n">
        <v>63.6</v>
      </c>
      <c r="AJ10" t="n">
        <v>63.6</v>
      </c>
      <c r="AK10" t="n">
        <v>60</v>
      </c>
      <c r="AL10" t="n">
        <v>50</v>
      </c>
      <c r="AM10" t="n">
        <v>50</v>
      </c>
      <c r="AN10" t="n">
        <v>60</v>
      </c>
      <c r="AO10" t="n">
        <v>66.7</v>
      </c>
    </row>
    <row r="11">
      <c r="A11" t="inlineStr">
        <is>
          <t xml:space="preserve">    Architektur — Full Professors</t>
        </is>
      </c>
      <c r="B11" t="n">
        <v>25.8</v>
      </c>
      <c r="C11" t="n">
        <v>24.8</v>
      </c>
      <c r="D11" t="n">
        <v>26.3</v>
      </c>
      <c r="E11" t="n">
        <v>26.3</v>
      </c>
      <c r="F11" t="n">
        <v>27</v>
      </c>
      <c r="G11" t="n">
        <v>29.5</v>
      </c>
      <c r="H11" t="n">
        <v>30</v>
      </c>
      <c r="I11" t="n">
        <v>30</v>
      </c>
      <c r="J11" t="n">
        <v>30.1</v>
      </c>
      <c r="K11" t="n">
        <v>28.4</v>
      </c>
      <c r="L11" t="n">
        <v>27.4</v>
      </c>
      <c r="M11" t="n">
        <v>30.9</v>
      </c>
      <c r="N11" t="n">
        <v>31.9</v>
      </c>
      <c r="O11" t="n">
        <v>31.7</v>
      </c>
      <c r="P11" t="n">
        <v>33</v>
      </c>
      <c r="Q11" t="n">
        <v>33.5</v>
      </c>
      <c r="R11" t="n">
        <v>32.1</v>
      </c>
      <c r="S11" t="n">
        <v>30.8</v>
      </c>
      <c r="T11" t="n">
        <v>33</v>
      </c>
      <c r="U11" t="n">
        <v>32</v>
      </c>
      <c r="V11" t="n">
        <v>41.9</v>
      </c>
      <c r="W11" t="n">
        <v>47.6</v>
      </c>
      <c r="X11" t="n">
        <v>48.7</v>
      </c>
      <c r="Y11" t="n">
        <v>48.7</v>
      </c>
      <c r="Z11" t="n">
        <v>49.3</v>
      </c>
      <c r="AA11" t="n">
        <v>46.8</v>
      </c>
      <c r="AB11" t="n">
        <v>44.3</v>
      </c>
      <c r="AC11" t="n">
        <v>44.3</v>
      </c>
      <c r="AD11" t="n">
        <v>48.2</v>
      </c>
      <c r="AE11" t="n">
        <v>51.1</v>
      </c>
      <c r="AF11" t="n">
        <v>49.3</v>
      </c>
      <c r="AG11" t="n">
        <v>55</v>
      </c>
      <c r="AH11" t="n">
        <v>50.2</v>
      </c>
      <c r="AI11" t="n">
        <v>54.3</v>
      </c>
      <c r="AJ11" t="n">
        <v>53</v>
      </c>
      <c r="AK11" t="n">
        <v>52.2</v>
      </c>
      <c r="AL11" t="n">
        <v>50.5</v>
      </c>
      <c r="AM11" t="n">
        <v>54.5</v>
      </c>
      <c r="AN11" t="n">
        <v>53.3</v>
      </c>
      <c r="AO11" t="n">
        <v>55</v>
      </c>
    </row>
    <row r="12">
      <c r="A12" t="inlineStr">
        <is>
          <t xml:space="preserve">    Architektur — Assistant Professors</t>
        </is>
      </c>
      <c r="B12" t="n">
        <v>3.2</v>
      </c>
      <c r="C12" t="n">
        <v>3.2</v>
      </c>
      <c r="D12" t="n">
        <v>2.2</v>
      </c>
      <c r="E12" t="n">
        <v>4.2</v>
      </c>
      <c r="F12" t="n">
        <v>5</v>
      </c>
      <c r="G12" t="n">
        <v>5</v>
      </c>
      <c r="H12" t="n">
        <v>7</v>
      </c>
      <c r="I12" t="n">
        <v>7</v>
      </c>
      <c r="J12" t="n">
        <v>4</v>
      </c>
      <c r="K12" t="n">
        <v>4</v>
      </c>
      <c r="L12" t="n">
        <v>4</v>
      </c>
      <c r="M12" t="n">
        <v>3</v>
      </c>
      <c r="N12" t="n">
        <v>2</v>
      </c>
      <c r="O12" t="n">
        <v>2</v>
      </c>
      <c r="P12" t="n">
        <v>1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23.8</v>
      </c>
      <c r="Z12" t="n">
        <v>60</v>
      </c>
      <c r="AA12" t="n">
        <v>80</v>
      </c>
      <c r="AB12" t="n">
        <v>85.7</v>
      </c>
      <c r="AC12" t="n">
        <v>85.7</v>
      </c>
      <c r="AD12" t="n">
        <v>75</v>
      </c>
      <c r="AE12" t="n">
        <v>75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  <c r="AK12" t="inlineStr"/>
      <c r="AL12" t="inlineStr"/>
      <c r="AM12" t="inlineStr"/>
      <c r="AN12" t="inlineStr"/>
      <c r="AO12" t="inlineStr"/>
    </row>
    <row r="13">
      <c r="A13" t="inlineStr">
        <is>
          <t xml:space="preserve">    Bau,Umw.u.Geomatik — Full Professors</t>
        </is>
      </c>
      <c r="B13" t="n">
        <v>25</v>
      </c>
      <c r="C13" t="n">
        <v>25</v>
      </c>
      <c r="D13" t="n">
        <v>22.6</v>
      </c>
      <c r="E13" t="n">
        <v>24</v>
      </c>
      <c r="F13" t="n">
        <v>25.8</v>
      </c>
      <c r="G13" t="n">
        <v>26.8</v>
      </c>
      <c r="H13" t="n">
        <v>30.8</v>
      </c>
      <c r="I13" t="n">
        <v>29.8</v>
      </c>
      <c r="J13" t="n">
        <v>27.8</v>
      </c>
      <c r="K13" t="n">
        <v>27.8</v>
      </c>
      <c r="L13" t="n">
        <v>28.8</v>
      </c>
      <c r="M13" t="n">
        <v>29.8</v>
      </c>
      <c r="N13" t="n">
        <v>28.4</v>
      </c>
      <c r="O13" t="n">
        <v>27.4</v>
      </c>
      <c r="P13" t="n">
        <v>27.4</v>
      </c>
      <c r="Q13" t="n">
        <v>26.4</v>
      </c>
      <c r="R13" t="n">
        <v>25.6</v>
      </c>
      <c r="S13" t="n">
        <v>28.2</v>
      </c>
      <c r="T13" t="n">
        <v>30.4</v>
      </c>
      <c r="U13" t="n">
        <v>30.4</v>
      </c>
      <c r="V13" t="n">
        <v>60</v>
      </c>
      <c r="W13" t="n">
        <v>60</v>
      </c>
      <c r="X13" t="n">
        <v>61.9</v>
      </c>
      <c r="Y13" t="n">
        <v>58.3</v>
      </c>
      <c r="Z13" t="n">
        <v>54.3</v>
      </c>
      <c r="AA13" t="n">
        <v>63.4</v>
      </c>
      <c r="AB13" t="n">
        <v>64.90000000000001</v>
      </c>
      <c r="AC13" t="n">
        <v>60.4</v>
      </c>
      <c r="AD13" t="n">
        <v>57.6</v>
      </c>
      <c r="AE13" t="n">
        <v>57.6</v>
      </c>
      <c r="AF13" t="n">
        <v>62.5</v>
      </c>
      <c r="AG13" t="n">
        <v>60.4</v>
      </c>
      <c r="AH13" t="n">
        <v>62</v>
      </c>
      <c r="AI13" t="n">
        <v>60.6</v>
      </c>
      <c r="AJ13" t="n">
        <v>60.6</v>
      </c>
      <c r="AK13" t="n">
        <v>62.5</v>
      </c>
      <c r="AL13" t="n">
        <v>62.5</v>
      </c>
      <c r="AM13" t="n">
        <v>62.4</v>
      </c>
      <c r="AN13" t="n">
        <v>61.2</v>
      </c>
      <c r="AO13" t="n">
        <v>61.2</v>
      </c>
    </row>
    <row r="14">
      <c r="A14" t="inlineStr">
        <is>
          <t xml:space="preserve">    Bau,Umw.u.Geomatik — Assistant Professors</t>
        </is>
      </c>
      <c r="B14" t="n">
        <v>2.7</v>
      </c>
      <c r="C14" t="n">
        <v>2</v>
      </c>
      <c r="D14" t="n">
        <v>2</v>
      </c>
      <c r="E14" t="n">
        <v>2</v>
      </c>
      <c r="F14" t="n">
        <v>4</v>
      </c>
      <c r="G14" t="n">
        <v>4</v>
      </c>
      <c r="H14" t="n">
        <v>3</v>
      </c>
      <c r="I14" t="n">
        <v>4</v>
      </c>
      <c r="J14" t="n">
        <v>3.3</v>
      </c>
      <c r="K14" t="n">
        <v>4</v>
      </c>
      <c r="L14" t="n">
        <v>4</v>
      </c>
      <c r="M14" t="n">
        <v>5</v>
      </c>
      <c r="N14" t="n">
        <v>7</v>
      </c>
      <c r="O14" t="n">
        <v>9</v>
      </c>
      <c r="P14" t="n">
        <v>10</v>
      </c>
      <c r="Q14" t="n">
        <v>10</v>
      </c>
      <c r="R14" t="n">
        <v>8</v>
      </c>
      <c r="S14" t="n">
        <v>6</v>
      </c>
      <c r="T14" t="n">
        <v>5</v>
      </c>
      <c r="U14" t="n">
        <v>3</v>
      </c>
      <c r="V14" t="n">
        <v>63</v>
      </c>
      <c r="W14" t="n">
        <v>50</v>
      </c>
      <c r="X14" t="n">
        <v>50</v>
      </c>
      <c r="Y14" t="n">
        <v>50</v>
      </c>
      <c r="Z14" t="n">
        <v>100</v>
      </c>
      <c r="AA14" t="n">
        <v>100</v>
      </c>
      <c r="AB14" t="n">
        <v>100</v>
      </c>
      <c r="AC14" t="n">
        <v>100</v>
      </c>
      <c r="AD14" t="n">
        <v>100</v>
      </c>
      <c r="AE14" t="n">
        <v>100</v>
      </c>
      <c r="AF14" t="n">
        <v>75</v>
      </c>
      <c r="AG14" t="n">
        <v>60</v>
      </c>
      <c r="AH14" t="n">
        <v>71.40000000000001</v>
      </c>
      <c r="AI14" t="n">
        <v>55.6</v>
      </c>
      <c r="AJ14" t="n">
        <v>60</v>
      </c>
      <c r="AK14" t="n">
        <v>60</v>
      </c>
      <c r="AL14" t="n">
        <v>50</v>
      </c>
      <c r="AM14" t="n">
        <v>50</v>
      </c>
      <c r="AN14" t="n">
        <v>60</v>
      </c>
      <c r="AO14" t="n">
        <v>66.7</v>
      </c>
    </row>
    <row r="15">
      <c r="A15">
        <f>== Ingenieurwissenschaften ===</f>
        <v/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 xml:space="preserve">  [Faculty total] Full Professors</t>
        </is>
      </c>
      <c r="B16" t="n">
        <v>75.2</v>
      </c>
      <c r="C16" t="n">
        <v>78.3</v>
      </c>
      <c r="D16" t="n">
        <v>79.3</v>
      </c>
      <c r="E16" t="n">
        <v>78.40000000000001</v>
      </c>
      <c r="F16" t="n">
        <v>83.5</v>
      </c>
      <c r="G16" t="n">
        <v>83.5</v>
      </c>
      <c r="H16" t="n">
        <v>86.59999999999999</v>
      </c>
      <c r="I16" t="n">
        <v>94.09999999999999</v>
      </c>
      <c r="J16" t="n">
        <v>99.5</v>
      </c>
      <c r="K16" t="n">
        <v>107.7</v>
      </c>
      <c r="L16" t="n">
        <v>104.4</v>
      </c>
      <c r="M16" t="n">
        <v>108.4</v>
      </c>
      <c r="N16" t="n">
        <v>107.4</v>
      </c>
      <c r="O16" t="n">
        <v>109.2</v>
      </c>
      <c r="P16" t="n">
        <v>114.8</v>
      </c>
      <c r="Q16" t="n">
        <v>116.4</v>
      </c>
      <c r="R16" t="n">
        <v>117.6</v>
      </c>
      <c r="S16" t="n">
        <v>113.4</v>
      </c>
      <c r="T16" t="n">
        <v>109.4</v>
      </c>
      <c r="U16" t="n">
        <v>109</v>
      </c>
      <c r="V16" t="n">
        <v>69.8</v>
      </c>
      <c r="W16" t="n">
        <v>73.2</v>
      </c>
      <c r="X16" t="n">
        <v>73.5</v>
      </c>
      <c r="Y16" t="n">
        <v>73.3</v>
      </c>
      <c r="Z16" t="n">
        <v>70.2</v>
      </c>
      <c r="AA16" t="n">
        <v>76.2</v>
      </c>
      <c r="AB16" t="n">
        <v>73.59999999999999</v>
      </c>
      <c r="AC16" t="n">
        <v>72.5</v>
      </c>
      <c r="AD16" t="n">
        <v>74</v>
      </c>
      <c r="AE16" t="n">
        <v>74.09999999999999</v>
      </c>
      <c r="AF16" t="n">
        <v>73.3</v>
      </c>
      <c r="AG16" t="n">
        <v>71.5</v>
      </c>
      <c r="AH16" t="n">
        <v>68.40000000000001</v>
      </c>
      <c r="AI16" t="n">
        <v>69.90000000000001</v>
      </c>
      <c r="AJ16" t="n">
        <v>70.09999999999999</v>
      </c>
      <c r="AK16" t="n">
        <v>69.7</v>
      </c>
      <c r="AL16" t="n">
        <v>70.8</v>
      </c>
      <c r="AM16" t="n">
        <v>66.40000000000001</v>
      </c>
      <c r="AN16" t="n">
        <v>65.09999999999999</v>
      </c>
      <c r="AO16" t="n">
        <v>65</v>
      </c>
    </row>
    <row r="17">
      <c r="A17" t="inlineStr">
        <is>
          <t xml:space="preserve">  [Faculty total] Assistant Professors</t>
        </is>
      </c>
      <c r="B17" t="n">
        <v>14</v>
      </c>
      <c r="C17" t="n">
        <v>13.3</v>
      </c>
      <c r="D17" t="n">
        <v>13.3</v>
      </c>
      <c r="E17" t="n">
        <v>17</v>
      </c>
      <c r="F17" t="n">
        <v>19</v>
      </c>
      <c r="G17" t="n">
        <v>22.3</v>
      </c>
      <c r="H17" t="n">
        <v>25</v>
      </c>
      <c r="I17" t="n">
        <v>24.5</v>
      </c>
      <c r="J17" t="n">
        <v>24.3</v>
      </c>
      <c r="K17" t="n">
        <v>22</v>
      </c>
      <c r="L17" t="n">
        <v>25</v>
      </c>
      <c r="M17" t="n">
        <v>23.5</v>
      </c>
      <c r="N17" t="n">
        <v>19.5</v>
      </c>
      <c r="O17" t="n">
        <v>25.3</v>
      </c>
      <c r="P17" t="n">
        <v>34.4</v>
      </c>
      <c r="Q17" t="n">
        <v>32.2</v>
      </c>
      <c r="R17" t="n">
        <v>32.8</v>
      </c>
      <c r="S17" t="n">
        <v>31.1</v>
      </c>
      <c r="T17" t="n">
        <v>34.8</v>
      </c>
      <c r="U17" t="n">
        <v>32.8</v>
      </c>
      <c r="V17" t="n">
        <v>85.7</v>
      </c>
      <c r="W17" t="n">
        <v>77.40000000000001</v>
      </c>
      <c r="X17" t="n">
        <v>62.4</v>
      </c>
      <c r="Y17" t="n">
        <v>64.7</v>
      </c>
      <c r="Z17" t="n">
        <v>68.40000000000001</v>
      </c>
      <c r="AA17" t="n">
        <v>76.2</v>
      </c>
      <c r="AB17" t="n">
        <v>84</v>
      </c>
      <c r="AC17" t="n">
        <v>89.8</v>
      </c>
      <c r="AD17" t="n">
        <v>81.5</v>
      </c>
      <c r="AE17" t="n">
        <v>86.40000000000001</v>
      </c>
      <c r="AF17" t="n">
        <v>92</v>
      </c>
      <c r="AG17" t="n">
        <v>94.90000000000001</v>
      </c>
      <c r="AH17" t="n">
        <v>94.90000000000001</v>
      </c>
      <c r="AI17" t="n">
        <v>88.09999999999999</v>
      </c>
      <c r="AJ17" t="n">
        <v>90.7</v>
      </c>
      <c r="AK17" t="n">
        <v>93.2</v>
      </c>
      <c r="AL17" t="n">
        <v>87.8</v>
      </c>
      <c r="AM17" t="n">
        <v>90.40000000000001</v>
      </c>
      <c r="AN17" t="n">
        <v>82.8</v>
      </c>
      <c r="AO17" t="n">
        <v>84.8</v>
      </c>
    </row>
    <row r="18">
      <c r="A18" t="inlineStr">
        <is>
          <t xml:space="preserve">    Masch.u.Verf.tech. — Full Professors</t>
        </is>
      </c>
      <c r="B18" t="n">
        <v>26</v>
      </c>
      <c r="C18" t="n">
        <v>26</v>
      </c>
      <c r="D18" t="n">
        <v>26</v>
      </c>
      <c r="E18" t="n">
        <v>26</v>
      </c>
      <c r="F18" t="n">
        <v>26</v>
      </c>
      <c r="G18" t="n">
        <v>26</v>
      </c>
      <c r="H18" t="n">
        <v>27</v>
      </c>
      <c r="I18" t="n">
        <v>28</v>
      </c>
      <c r="J18" t="n">
        <v>27</v>
      </c>
      <c r="K18" t="n">
        <v>29</v>
      </c>
      <c r="L18" t="n">
        <v>28.6</v>
      </c>
      <c r="M18" t="n">
        <v>29.8</v>
      </c>
      <c r="N18" t="n">
        <v>29.4</v>
      </c>
      <c r="O18" t="n">
        <v>28.4</v>
      </c>
      <c r="P18" t="n">
        <v>33.3</v>
      </c>
      <c r="Q18" t="n">
        <v>34.4</v>
      </c>
      <c r="R18" t="n">
        <v>33.8</v>
      </c>
      <c r="S18" t="n">
        <v>33.4</v>
      </c>
      <c r="T18" t="n">
        <v>31.5</v>
      </c>
      <c r="U18" t="n">
        <v>29.8</v>
      </c>
      <c r="V18" t="n">
        <v>53.8</v>
      </c>
      <c r="W18" t="n">
        <v>61.5</v>
      </c>
      <c r="X18" t="n">
        <v>61.5</v>
      </c>
      <c r="Y18" t="n">
        <v>61.5</v>
      </c>
      <c r="Z18" t="n">
        <v>57.7</v>
      </c>
      <c r="AA18" t="n">
        <v>61.5</v>
      </c>
      <c r="AB18" t="n">
        <v>63</v>
      </c>
      <c r="AC18" t="n">
        <v>64.3</v>
      </c>
      <c r="AD18" t="n">
        <v>63</v>
      </c>
      <c r="AE18" t="n">
        <v>62.1</v>
      </c>
      <c r="AF18" t="n">
        <v>58</v>
      </c>
      <c r="AG18" t="n">
        <v>59.7</v>
      </c>
      <c r="AH18" t="n">
        <v>55.8</v>
      </c>
      <c r="AI18" t="n">
        <v>54.2</v>
      </c>
      <c r="AJ18" t="n">
        <v>62.8</v>
      </c>
      <c r="AK18" t="n">
        <v>66.90000000000001</v>
      </c>
      <c r="AL18" t="n">
        <v>71</v>
      </c>
      <c r="AM18" t="n">
        <v>71.90000000000001</v>
      </c>
      <c r="AN18" t="n">
        <v>73</v>
      </c>
      <c r="AO18" t="n">
        <v>72.09999999999999</v>
      </c>
    </row>
    <row r="19">
      <c r="A19" t="inlineStr">
        <is>
          <t xml:space="preserve">    Masch.u.Verf.tech. — Assistant Professors</t>
        </is>
      </c>
      <c r="B19" t="n">
        <v>0</v>
      </c>
      <c r="C19" t="inlineStr"/>
      <c r="D19" t="inlineStr"/>
      <c r="E19" t="n">
        <v>2</v>
      </c>
      <c r="F19" t="n">
        <v>3</v>
      </c>
      <c r="G19" t="n">
        <v>3</v>
      </c>
      <c r="H19" t="n">
        <v>4</v>
      </c>
      <c r="I19" t="n">
        <v>5</v>
      </c>
      <c r="J19" t="n">
        <v>5.3</v>
      </c>
      <c r="K19" t="n">
        <v>7</v>
      </c>
      <c r="L19" t="n">
        <v>7</v>
      </c>
      <c r="M19" t="n">
        <v>7.2</v>
      </c>
      <c r="N19" t="n">
        <v>5.2</v>
      </c>
      <c r="O19" t="n">
        <v>8</v>
      </c>
      <c r="P19" t="n">
        <v>10</v>
      </c>
      <c r="Q19" t="n">
        <v>9</v>
      </c>
      <c r="R19" t="n">
        <v>7.8</v>
      </c>
      <c r="S19" t="n">
        <v>5.1</v>
      </c>
      <c r="T19" t="n">
        <v>4.8</v>
      </c>
      <c r="U19" t="n">
        <v>4.8</v>
      </c>
      <c r="V19" t="inlineStr"/>
      <c r="W19" t="inlineStr"/>
      <c r="X19" t="inlineStr"/>
      <c r="Y19" t="n">
        <v>100</v>
      </c>
      <c r="Z19" t="n">
        <v>100</v>
      </c>
      <c r="AA19" t="n">
        <v>100</v>
      </c>
      <c r="AB19" t="n">
        <v>75</v>
      </c>
      <c r="AC19" t="n">
        <v>80</v>
      </c>
      <c r="AD19" t="n">
        <v>81.09999999999999</v>
      </c>
      <c r="AE19" t="n">
        <v>71.40000000000001</v>
      </c>
      <c r="AF19" t="n">
        <v>71.40000000000001</v>
      </c>
      <c r="AG19" t="n">
        <v>83.3</v>
      </c>
      <c r="AH19" t="n">
        <v>80.8</v>
      </c>
      <c r="AI19" t="n">
        <v>75</v>
      </c>
      <c r="AJ19" t="n">
        <v>80</v>
      </c>
      <c r="AK19" t="n">
        <v>88.90000000000001</v>
      </c>
      <c r="AL19" t="n">
        <v>87.2</v>
      </c>
      <c r="AM19" t="n">
        <v>100</v>
      </c>
      <c r="AN19" t="n">
        <v>100</v>
      </c>
      <c r="AO19" t="n">
        <v>100</v>
      </c>
    </row>
    <row r="20">
      <c r="A20" t="inlineStr">
        <is>
          <t xml:space="preserve">    Inf.techno.u.Elek. — Full Professors</t>
        </is>
      </c>
      <c r="B20" t="n">
        <v>21.2</v>
      </c>
      <c r="C20" t="n">
        <v>20.5</v>
      </c>
      <c r="D20" t="n">
        <v>21.5</v>
      </c>
      <c r="E20" t="n">
        <v>21.5</v>
      </c>
      <c r="F20" t="n">
        <v>21.7</v>
      </c>
      <c r="G20" t="n">
        <v>18.7</v>
      </c>
      <c r="H20" t="n">
        <v>19.7</v>
      </c>
      <c r="I20" t="n">
        <v>22.2</v>
      </c>
      <c r="J20" t="n">
        <v>25.5</v>
      </c>
      <c r="K20" t="n">
        <v>28.7</v>
      </c>
      <c r="L20" t="n">
        <v>27.7</v>
      </c>
      <c r="M20" t="n">
        <v>27.6</v>
      </c>
      <c r="N20" t="n">
        <v>26.4</v>
      </c>
      <c r="O20" t="n">
        <v>27.4</v>
      </c>
      <c r="P20" t="n">
        <v>29.6</v>
      </c>
      <c r="Q20" t="n">
        <v>29.1</v>
      </c>
      <c r="R20" t="n">
        <v>28.6</v>
      </c>
      <c r="S20" t="n">
        <v>27.6</v>
      </c>
      <c r="T20" t="n">
        <v>27.9</v>
      </c>
      <c r="U20" t="n">
        <v>27.1</v>
      </c>
      <c r="V20" t="n">
        <v>77.8</v>
      </c>
      <c r="W20" t="n">
        <v>75.59999999999999</v>
      </c>
      <c r="X20" t="n">
        <v>76.7</v>
      </c>
      <c r="Y20" t="n">
        <v>76.7</v>
      </c>
      <c r="Z20" t="n">
        <v>67.7</v>
      </c>
      <c r="AA20" t="n">
        <v>78.59999999999999</v>
      </c>
      <c r="AB20" t="n">
        <v>74.59999999999999</v>
      </c>
      <c r="AC20" t="n">
        <v>68.5</v>
      </c>
      <c r="AD20" t="n">
        <v>68.59999999999999</v>
      </c>
      <c r="AE20" t="n">
        <v>72.09999999999999</v>
      </c>
      <c r="AF20" t="n">
        <v>71.09999999999999</v>
      </c>
      <c r="AG20" t="n">
        <v>67.40000000000001</v>
      </c>
      <c r="AH20" t="n">
        <v>65.90000000000001</v>
      </c>
      <c r="AI20" t="n">
        <v>67.2</v>
      </c>
      <c r="AJ20" t="n">
        <v>59.5</v>
      </c>
      <c r="AK20" t="n">
        <v>58.8</v>
      </c>
      <c r="AL20" t="n">
        <v>58</v>
      </c>
      <c r="AM20" t="n">
        <v>56.5</v>
      </c>
      <c r="AN20" t="n">
        <v>53.4</v>
      </c>
      <c r="AO20" t="n">
        <v>55</v>
      </c>
    </row>
    <row r="21">
      <c r="A21" t="inlineStr">
        <is>
          <t xml:space="preserve">    Inf.techno.u.Elek. — Assistant Professors</t>
        </is>
      </c>
      <c r="B21" t="n">
        <v>3</v>
      </c>
      <c r="C21" t="n">
        <v>2.3</v>
      </c>
      <c r="D21" t="n">
        <v>3.3</v>
      </c>
      <c r="E21" t="n">
        <v>4</v>
      </c>
      <c r="F21" t="n">
        <v>5</v>
      </c>
      <c r="G21" t="n">
        <v>5.3</v>
      </c>
      <c r="H21" t="n">
        <v>5</v>
      </c>
      <c r="I21" t="n">
        <v>3.5</v>
      </c>
      <c r="J21" t="n">
        <v>5</v>
      </c>
      <c r="K21" t="n">
        <v>4</v>
      </c>
      <c r="L21" t="n">
        <v>6</v>
      </c>
      <c r="M21" t="n">
        <v>6</v>
      </c>
      <c r="N21" t="n">
        <v>7</v>
      </c>
      <c r="O21" t="n">
        <v>6</v>
      </c>
      <c r="P21" t="n">
        <v>6.4</v>
      </c>
      <c r="Q21" t="n">
        <v>6.2</v>
      </c>
      <c r="R21" t="n">
        <v>7</v>
      </c>
      <c r="S21" t="n">
        <v>7</v>
      </c>
      <c r="T21" t="n">
        <v>7</v>
      </c>
      <c r="U21" t="n">
        <v>7</v>
      </c>
      <c r="V21" t="n">
        <v>100</v>
      </c>
      <c r="W21" t="n">
        <v>100</v>
      </c>
      <c r="X21" t="n">
        <v>39.4</v>
      </c>
      <c r="Y21" t="n">
        <v>50</v>
      </c>
      <c r="Z21" t="n">
        <v>60</v>
      </c>
      <c r="AA21" t="n">
        <v>56.6</v>
      </c>
      <c r="AB21" t="n">
        <v>60</v>
      </c>
      <c r="AC21" t="n">
        <v>85.7</v>
      </c>
      <c r="AD21" t="n">
        <v>50</v>
      </c>
      <c r="AE21" t="n">
        <v>100</v>
      </c>
      <c r="AF21" t="n">
        <v>100</v>
      </c>
      <c r="AG21" t="n">
        <v>100</v>
      </c>
      <c r="AH21" t="n">
        <v>100</v>
      </c>
      <c r="AI21" t="n">
        <v>83.3</v>
      </c>
      <c r="AJ21" t="n">
        <v>96.90000000000001</v>
      </c>
      <c r="AK21" t="n">
        <v>96.8</v>
      </c>
      <c r="AL21" t="n">
        <v>85.7</v>
      </c>
      <c r="AM21" t="n">
        <v>85.7</v>
      </c>
      <c r="AN21" t="n">
        <v>71.40000000000001</v>
      </c>
      <c r="AO21" t="n">
        <v>85.7</v>
      </c>
    </row>
    <row r="22">
      <c r="A22" t="inlineStr">
        <is>
          <t xml:space="preserve">    Informatik — Full Professors</t>
        </is>
      </c>
      <c r="B22" t="n">
        <v>17</v>
      </c>
      <c r="C22" t="n">
        <v>18.8</v>
      </c>
      <c r="D22" t="n">
        <v>19.8</v>
      </c>
      <c r="E22" t="n">
        <v>18.9</v>
      </c>
      <c r="F22" t="n">
        <v>19.8</v>
      </c>
      <c r="G22" t="n">
        <v>20.8</v>
      </c>
      <c r="H22" t="n">
        <v>21.9</v>
      </c>
      <c r="I22" t="n">
        <v>21.9</v>
      </c>
      <c r="J22" t="n">
        <v>20</v>
      </c>
      <c r="K22" t="n">
        <v>22</v>
      </c>
      <c r="L22" t="n">
        <v>21.1</v>
      </c>
      <c r="M22" t="n">
        <v>23</v>
      </c>
      <c r="N22" t="n">
        <v>23.6</v>
      </c>
      <c r="O22" t="n">
        <v>23.4</v>
      </c>
      <c r="P22" t="n">
        <v>23.9</v>
      </c>
      <c r="Q22" t="n">
        <v>23.9</v>
      </c>
      <c r="R22" t="n">
        <v>25.6</v>
      </c>
      <c r="S22" t="n">
        <v>26.4</v>
      </c>
      <c r="T22" t="n">
        <v>23.4</v>
      </c>
      <c r="U22" t="n">
        <v>24.5</v>
      </c>
      <c r="V22" t="n">
        <v>82.40000000000001</v>
      </c>
      <c r="W22" t="n">
        <v>84</v>
      </c>
      <c r="X22" t="n">
        <v>79.8</v>
      </c>
      <c r="Y22" t="n">
        <v>84.7</v>
      </c>
      <c r="Z22" t="n">
        <v>80.3</v>
      </c>
      <c r="AA22" t="n">
        <v>86.09999999999999</v>
      </c>
      <c r="AB22" t="n">
        <v>82.2</v>
      </c>
      <c r="AC22" t="n">
        <v>77.59999999999999</v>
      </c>
      <c r="AD22" t="n">
        <v>80.5</v>
      </c>
      <c r="AE22" t="n">
        <v>82.3</v>
      </c>
      <c r="AF22" t="n">
        <v>81.5</v>
      </c>
      <c r="AG22" t="n">
        <v>78.7</v>
      </c>
      <c r="AH22" t="n">
        <v>70.8</v>
      </c>
      <c r="AI22" t="n">
        <v>74.8</v>
      </c>
      <c r="AJ22" t="n">
        <v>75.3</v>
      </c>
      <c r="AK22" t="n">
        <v>75.3</v>
      </c>
      <c r="AL22" t="n">
        <v>73</v>
      </c>
      <c r="AM22" t="n">
        <v>66.3</v>
      </c>
      <c r="AN22" t="n">
        <v>62</v>
      </c>
      <c r="AO22" t="n">
        <v>67.8</v>
      </c>
    </row>
    <row r="23">
      <c r="A23" t="inlineStr">
        <is>
          <t xml:space="preserve">    Informatik — Assistant Professors</t>
        </is>
      </c>
      <c r="B23" t="n">
        <v>7</v>
      </c>
      <c r="C23" t="n">
        <v>7</v>
      </c>
      <c r="D23" t="n">
        <v>5</v>
      </c>
      <c r="E23" t="n">
        <v>5</v>
      </c>
      <c r="F23" t="n">
        <v>5</v>
      </c>
      <c r="G23" t="n">
        <v>5</v>
      </c>
      <c r="H23" t="n">
        <v>6</v>
      </c>
      <c r="I23" t="n">
        <v>6</v>
      </c>
      <c r="J23" t="n">
        <v>6</v>
      </c>
      <c r="K23" t="n">
        <v>4</v>
      </c>
      <c r="L23" t="n">
        <v>6</v>
      </c>
      <c r="M23" t="n">
        <v>6</v>
      </c>
      <c r="N23" t="n">
        <v>5</v>
      </c>
      <c r="O23" t="n">
        <v>9</v>
      </c>
      <c r="P23" t="n">
        <v>15</v>
      </c>
      <c r="Q23" t="n">
        <v>15</v>
      </c>
      <c r="R23" t="n">
        <v>15</v>
      </c>
      <c r="S23" t="n">
        <v>15</v>
      </c>
      <c r="T23" t="n">
        <v>17</v>
      </c>
      <c r="U23" t="n">
        <v>15</v>
      </c>
      <c r="V23" t="n">
        <v>71.40000000000001</v>
      </c>
      <c r="W23" t="n">
        <v>71.40000000000001</v>
      </c>
      <c r="X23" t="n">
        <v>60</v>
      </c>
      <c r="Y23" t="n">
        <v>40</v>
      </c>
      <c r="Z23" t="n">
        <v>40</v>
      </c>
      <c r="AA23" t="n">
        <v>60</v>
      </c>
      <c r="AB23" t="n">
        <v>83.3</v>
      </c>
      <c r="AC23" t="n">
        <v>83.3</v>
      </c>
      <c r="AD23" t="n">
        <v>83.3</v>
      </c>
      <c r="AE23" t="n">
        <v>75</v>
      </c>
      <c r="AF23" t="n">
        <v>100</v>
      </c>
      <c r="AG23" t="n">
        <v>100</v>
      </c>
      <c r="AH23" t="n">
        <v>100</v>
      </c>
      <c r="AI23" t="n">
        <v>100</v>
      </c>
      <c r="AJ23" t="n">
        <v>100</v>
      </c>
      <c r="AK23" t="n">
        <v>100</v>
      </c>
      <c r="AL23" t="n">
        <v>93.3</v>
      </c>
      <c r="AM23" t="n">
        <v>93.3</v>
      </c>
      <c r="AN23" t="n">
        <v>94.09999999999999</v>
      </c>
      <c r="AO23" t="n">
        <v>93.3</v>
      </c>
    </row>
    <row r="24">
      <c r="A24" t="inlineStr">
        <is>
          <t xml:space="preserve">    Materialwiss. — Full Professors</t>
        </is>
      </c>
      <c r="B24" t="n">
        <v>7</v>
      </c>
      <c r="C24" t="n">
        <v>8</v>
      </c>
      <c r="D24" t="n">
        <v>7</v>
      </c>
      <c r="E24" t="n">
        <v>7</v>
      </c>
      <c r="F24" t="n">
        <v>9</v>
      </c>
      <c r="G24" t="n">
        <v>10</v>
      </c>
      <c r="H24" t="n">
        <v>10</v>
      </c>
      <c r="I24" t="n">
        <v>12</v>
      </c>
      <c r="J24" t="n">
        <v>14</v>
      </c>
      <c r="K24" t="n">
        <v>14</v>
      </c>
      <c r="L24" t="n">
        <v>13</v>
      </c>
      <c r="M24" t="n">
        <v>13</v>
      </c>
      <c r="N24" t="n">
        <v>12</v>
      </c>
      <c r="O24" t="n">
        <v>13</v>
      </c>
      <c r="P24" t="n">
        <v>12</v>
      </c>
      <c r="Q24" t="n">
        <v>12</v>
      </c>
      <c r="R24" t="n">
        <v>12.6</v>
      </c>
      <c r="S24" t="n">
        <v>10.8</v>
      </c>
      <c r="T24" t="n">
        <v>10.8</v>
      </c>
      <c r="U24" t="n">
        <v>11.8</v>
      </c>
      <c r="V24" t="n">
        <v>85.7</v>
      </c>
      <c r="W24" t="n">
        <v>87.5</v>
      </c>
      <c r="X24" t="n">
        <v>100</v>
      </c>
      <c r="Y24" t="n">
        <v>85.7</v>
      </c>
      <c r="Z24" t="n">
        <v>88.90000000000001</v>
      </c>
      <c r="AA24" t="n">
        <v>90</v>
      </c>
      <c r="AB24" t="n">
        <v>80</v>
      </c>
      <c r="AC24" t="n">
        <v>83.3</v>
      </c>
      <c r="AD24" t="n">
        <v>85.7</v>
      </c>
      <c r="AE24" t="n">
        <v>78.59999999999999</v>
      </c>
      <c r="AF24" t="n">
        <v>84.59999999999999</v>
      </c>
      <c r="AG24" t="n">
        <v>76.90000000000001</v>
      </c>
      <c r="AH24" t="n">
        <v>75</v>
      </c>
      <c r="AI24" t="n">
        <v>76.90000000000001</v>
      </c>
      <c r="AJ24" t="n">
        <v>75</v>
      </c>
      <c r="AK24" t="n">
        <v>75</v>
      </c>
      <c r="AL24" t="n">
        <v>79.40000000000001</v>
      </c>
      <c r="AM24" t="n">
        <v>83.3</v>
      </c>
      <c r="AN24" t="n">
        <v>83.3</v>
      </c>
      <c r="AO24" t="n">
        <v>76.3</v>
      </c>
    </row>
    <row r="25">
      <c r="A25" t="inlineStr">
        <is>
          <t xml:space="preserve">    Materialwiss. — Assistant Professors</t>
        </is>
      </c>
      <c r="B25" t="n">
        <v>2</v>
      </c>
      <c r="C25" t="n">
        <v>2</v>
      </c>
      <c r="D25" t="n">
        <v>2</v>
      </c>
      <c r="E25" t="n">
        <v>3</v>
      </c>
      <c r="F25" t="n">
        <v>2</v>
      </c>
      <c r="G25" t="n">
        <v>3</v>
      </c>
      <c r="H25" t="n">
        <v>3</v>
      </c>
      <c r="I25" t="n">
        <v>4</v>
      </c>
      <c r="J25" t="n">
        <v>3</v>
      </c>
      <c r="K25" t="n">
        <v>3</v>
      </c>
      <c r="L25" t="n">
        <v>2</v>
      </c>
      <c r="M25" t="n">
        <v>1.3</v>
      </c>
      <c r="N25" t="n">
        <v>1.3</v>
      </c>
      <c r="O25" t="n">
        <v>1.3</v>
      </c>
      <c r="P25" t="n">
        <v>1</v>
      </c>
      <c r="Q25" t="n">
        <v>1</v>
      </c>
      <c r="R25" t="n">
        <v>2</v>
      </c>
      <c r="S25" t="n">
        <v>3</v>
      </c>
      <c r="T25" t="n">
        <v>3</v>
      </c>
      <c r="U25" t="n">
        <v>2</v>
      </c>
      <c r="V25" t="n">
        <v>100</v>
      </c>
      <c r="W25" t="n">
        <v>50</v>
      </c>
      <c r="X25" t="n">
        <v>50</v>
      </c>
      <c r="Y25" t="n">
        <v>66.7</v>
      </c>
      <c r="Z25" t="n">
        <v>50</v>
      </c>
      <c r="AA25" t="n">
        <v>66.7</v>
      </c>
      <c r="AB25" t="n">
        <v>100</v>
      </c>
      <c r="AC25" t="n">
        <v>100</v>
      </c>
      <c r="AD25" t="n">
        <v>100</v>
      </c>
      <c r="AE25" t="n">
        <v>100</v>
      </c>
      <c r="AF25" t="n">
        <v>100</v>
      </c>
      <c r="AG25" t="n">
        <v>100</v>
      </c>
      <c r="AH25" t="n">
        <v>100</v>
      </c>
      <c r="AI25" t="n">
        <v>100</v>
      </c>
      <c r="AJ25" t="n">
        <v>100</v>
      </c>
      <c r="AK25" t="n">
        <v>100</v>
      </c>
      <c r="AL25" t="n">
        <v>100</v>
      </c>
      <c r="AM25" t="n">
        <v>100</v>
      </c>
      <c r="AN25" t="n">
        <v>100</v>
      </c>
      <c r="AO25" t="n">
        <v>100</v>
      </c>
    </row>
    <row r="26">
      <c r="A26" t="inlineStr">
        <is>
          <t xml:space="preserve">    Biosysteme — Full Professors</t>
        </is>
      </c>
      <c r="B26" t="n">
        <v>4</v>
      </c>
      <c r="C26" t="n">
        <v>5</v>
      </c>
      <c r="D26" t="n">
        <v>5</v>
      </c>
      <c r="E26" t="n">
        <v>5</v>
      </c>
      <c r="F26" t="n">
        <v>7</v>
      </c>
      <c r="G26" t="n">
        <v>8</v>
      </c>
      <c r="H26" t="n">
        <v>8</v>
      </c>
      <c r="I26" t="n">
        <v>10</v>
      </c>
      <c r="J26" t="n">
        <v>13</v>
      </c>
      <c r="K26" t="n">
        <v>14</v>
      </c>
      <c r="L26" t="n">
        <v>14</v>
      </c>
      <c r="M26" t="n">
        <v>15</v>
      </c>
      <c r="N26" t="n">
        <v>16</v>
      </c>
      <c r="O26" t="n">
        <v>17</v>
      </c>
      <c r="P26" t="n">
        <v>16</v>
      </c>
      <c r="Q26" t="n">
        <v>17</v>
      </c>
      <c r="R26" t="n">
        <v>17</v>
      </c>
      <c r="S26" t="n">
        <v>15.2</v>
      </c>
      <c r="T26" t="n">
        <v>15.8</v>
      </c>
      <c r="U26" t="n">
        <v>15.8</v>
      </c>
      <c r="V26" t="n">
        <v>50</v>
      </c>
      <c r="W26" t="n">
        <v>60</v>
      </c>
      <c r="X26" t="n">
        <v>60</v>
      </c>
      <c r="Y26" t="n">
        <v>60</v>
      </c>
      <c r="Z26" t="n">
        <v>71.40000000000001</v>
      </c>
      <c r="AA26" t="n">
        <v>75</v>
      </c>
      <c r="AB26" t="n">
        <v>75</v>
      </c>
      <c r="AC26" t="n">
        <v>80</v>
      </c>
      <c r="AD26" t="n">
        <v>84.59999999999999</v>
      </c>
      <c r="AE26" t="n">
        <v>85.7</v>
      </c>
      <c r="AF26" t="n">
        <v>85.7</v>
      </c>
      <c r="AG26" t="n">
        <v>86.7</v>
      </c>
      <c r="AH26" t="n">
        <v>87.5</v>
      </c>
      <c r="AI26" t="n">
        <v>88.2</v>
      </c>
      <c r="AJ26" t="n">
        <v>93.8</v>
      </c>
      <c r="AK26" t="n">
        <v>82.40000000000001</v>
      </c>
      <c r="AL26" t="n">
        <v>82.40000000000001</v>
      </c>
      <c r="AM26" t="n">
        <v>60.5</v>
      </c>
      <c r="AN26" t="n">
        <v>62</v>
      </c>
      <c r="AO26" t="n">
        <v>55.7</v>
      </c>
    </row>
    <row r="27">
      <c r="A27" t="inlineStr">
        <is>
          <t xml:space="preserve">    Biosysteme — Assistant Professors</t>
        </is>
      </c>
      <c r="B27" t="n">
        <v>2</v>
      </c>
      <c r="C27" t="n">
        <v>2</v>
      </c>
      <c r="D27" t="n">
        <v>3</v>
      </c>
      <c r="E27" t="n">
        <v>3</v>
      </c>
      <c r="F27" t="n">
        <v>4</v>
      </c>
      <c r="G27" t="n">
        <v>6</v>
      </c>
      <c r="H27" t="n">
        <v>7</v>
      </c>
      <c r="I27" t="n">
        <v>6</v>
      </c>
      <c r="J27" t="n">
        <v>5</v>
      </c>
      <c r="K27" t="n">
        <v>4</v>
      </c>
      <c r="L27" t="n">
        <v>4</v>
      </c>
      <c r="M27" t="n">
        <v>3</v>
      </c>
      <c r="N27" t="n">
        <v>1</v>
      </c>
      <c r="O27" t="n">
        <v>1</v>
      </c>
      <c r="P27" t="n">
        <v>2</v>
      </c>
      <c r="Q27" t="n">
        <v>1</v>
      </c>
      <c r="R27" t="n">
        <v>1</v>
      </c>
      <c r="S27" t="n">
        <v>1</v>
      </c>
      <c r="T27" t="n">
        <v>3</v>
      </c>
      <c r="U27" t="n">
        <v>4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50</v>
      </c>
      <c r="AK27" t="n">
        <v>0</v>
      </c>
      <c r="AL27" t="inlineStr"/>
      <c r="AM27" t="inlineStr"/>
      <c r="AN27" t="inlineStr"/>
      <c r="AO27" t="n">
        <v>25</v>
      </c>
    </row>
    <row r="28">
      <c r="A28">
        <f>== Naturwissenschaften und Mathematik ===</f>
        <v/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 xml:space="preserve">  [Faculty total] Full Professors</t>
        </is>
      </c>
      <c r="B29" t="n">
        <v>98.3</v>
      </c>
      <c r="C29" t="n">
        <v>99.59999999999999</v>
      </c>
      <c r="D29" t="n">
        <v>98.40000000000001</v>
      </c>
      <c r="E29" t="n">
        <v>106</v>
      </c>
      <c r="F29" t="n">
        <v>116.6</v>
      </c>
      <c r="G29" t="n">
        <v>117.1</v>
      </c>
      <c r="H29" t="n">
        <v>116.1</v>
      </c>
      <c r="I29" t="n">
        <v>123.2</v>
      </c>
      <c r="J29" t="n">
        <v>119.9</v>
      </c>
      <c r="K29" t="n">
        <v>119.4</v>
      </c>
      <c r="L29" t="n">
        <v>119.1</v>
      </c>
      <c r="M29" t="n">
        <v>122</v>
      </c>
      <c r="N29" t="n">
        <v>117.5</v>
      </c>
      <c r="O29" t="n">
        <v>119.9</v>
      </c>
      <c r="P29" t="n">
        <v>121.3</v>
      </c>
      <c r="Q29" t="n">
        <v>121.9</v>
      </c>
      <c r="R29" t="n">
        <v>121.2</v>
      </c>
      <c r="S29" t="n">
        <v>124.5</v>
      </c>
      <c r="T29" t="n">
        <v>127.1</v>
      </c>
      <c r="U29" t="n">
        <v>123.5</v>
      </c>
      <c r="V29" t="n">
        <v>64.90000000000001</v>
      </c>
      <c r="W29" t="n">
        <v>66.09999999999999</v>
      </c>
      <c r="X29" t="n">
        <v>63.8</v>
      </c>
      <c r="Y29" t="n">
        <v>67</v>
      </c>
      <c r="Z29" t="n">
        <v>70</v>
      </c>
      <c r="AA29" t="n">
        <v>71</v>
      </c>
      <c r="AB29" t="n">
        <v>70.7</v>
      </c>
      <c r="AC29" t="n">
        <v>68.3</v>
      </c>
      <c r="AD29" t="n">
        <v>66.8</v>
      </c>
      <c r="AE29" t="n">
        <v>64.8</v>
      </c>
      <c r="AF29" t="n">
        <v>63.1</v>
      </c>
      <c r="AG29" t="n">
        <v>62.7</v>
      </c>
      <c r="AH29" t="n">
        <v>62.1</v>
      </c>
      <c r="AI29" t="n">
        <v>60.8</v>
      </c>
      <c r="AJ29" t="n">
        <v>61.7</v>
      </c>
      <c r="AK29" t="n">
        <v>62.4</v>
      </c>
      <c r="AL29" t="n">
        <v>62.6</v>
      </c>
      <c r="AM29" t="n">
        <v>63.2</v>
      </c>
      <c r="AN29" t="n">
        <v>59.6</v>
      </c>
      <c r="AO29" t="n">
        <v>61.3</v>
      </c>
    </row>
    <row r="30">
      <c r="A30" t="inlineStr">
        <is>
          <t xml:space="preserve">  [Faculty total] Assistant Professors</t>
        </is>
      </c>
      <c r="B30" t="n">
        <v>23</v>
      </c>
      <c r="C30" t="n">
        <v>26</v>
      </c>
      <c r="D30" t="n">
        <v>24.8</v>
      </c>
      <c r="E30" t="n">
        <v>24</v>
      </c>
      <c r="F30" t="n">
        <v>24.3</v>
      </c>
      <c r="G30" t="n">
        <v>28.1</v>
      </c>
      <c r="H30" t="n">
        <v>27.1</v>
      </c>
      <c r="I30" t="n">
        <v>24.6</v>
      </c>
      <c r="J30" t="n">
        <v>26.8</v>
      </c>
      <c r="K30" t="n">
        <v>34.5</v>
      </c>
      <c r="L30" t="n">
        <v>39</v>
      </c>
      <c r="M30" t="n">
        <v>35</v>
      </c>
      <c r="N30" t="n">
        <v>33.4</v>
      </c>
      <c r="O30" t="n">
        <v>32</v>
      </c>
      <c r="P30" t="n">
        <v>28.5</v>
      </c>
      <c r="Q30" t="n">
        <v>29</v>
      </c>
      <c r="R30" t="n">
        <v>28.2</v>
      </c>
      <c r="S30" t="n">
        <v>28.8</v>
      </c>
      <c r="T30" t="n">
        <v>28.7</v>
      </c>
      <c r="U30" t="n">
        <v>29.8</v>
      </c>
      <c r="V30" t="n">
        <v>43.5</v>
      </c>
      <c r="W30" t="n">
        <v>53.8</v>
      </c>
      <c r="X30" t="n">
        <v>63.7</v>
      </c>
      <c r="Y30" t="n">
        <v>70.8</v>
      </c>
      <c r="Z30" t="n">
        <v>67.90000000000001</v>
      </c>
      <c r="AA30" t="n">
        <v>75.8</v>
      </c>
      <c r="AB30" t="n">
        <v>74.90000000000001</v>
      </c>
      <c r="AC30" t="n">
        <v>72.40000000000001</v>
      </c>
      <c r="AD30" t="n">
        <v>74.59999999999999</v>
      </c>
      <c r="AE30" t="n">
        <v>78.3</v>
      </c>
      <c r="AF30" t="n">
        <v>74.40000000000001</v>
      </c>
      <c r="AG30" t="n">
        <v>71.40000000000001</v>
      </c>
      <c r="AH30" t="n">
        <v>78.40000000000001</v>
      </c>
      <c r="AI30" t="n">
        <v>78.09999999999999</v>
      </c>
      <c r="AJ30" t="n">
        <v>78.90000000000001</v>
      </c>
      <c r="AK30" t="n">
        <v>82.8</v>
      </c>
      <c r="AL30" t="n">
        <v>78.7</v>
      </c>
      <c r="AM30" t="n">
        <v>79.2</v>
      </c>
      <c r="AN30" t="n">
        <v>76</v>
      </c>
      <c r="AO30" t="n">
        <v>69.8</v>
      </c>
    </row>
    <row r="31">
      <c r="A31" t="inlineStr">
        <is>
          <t xml:space="preserve">    Mathematik — Full Professors</t>
        </is>
      </c>
      <c r="B31" t="n">
        <v>25.5</v>
      </c>
      <c r="C31" t="n">
        <v>23.8</v>
      </c>
      <c r="D31" t="n">
        <v>23.8</v>
      </c>
      <c r="E31" t="n">
        <v>27.8</v>
      </c>
      <c r="F31" t="n">
        <v>30</v>
      </c>
      <c r="G31" t="n">
        <v>28.5</v>
      </c>
      <c r="H31" t="n">
        <v>28.5</v>
      </c>
      <c r="I31" t="n">
        <v>31</v>
      </c>
      <c r="J31" t="n">
        <v>30.5</v>
      </c>
      <c r="K31" t="n">
        <v>31.3</v>
      </c>
      <c r="L31" t="n">
        <v>33.3</v>
      </c>
      <c r="M31" t="n">
        <v>32.5</v>
      </c>
      <c r="N31" t="n">
        <v>29.5</v>
      </c>
      <c r="O31" t="n">
        <v>28.7</v>
      </c>
      <c r="P31" t="n">
        <v>31.7</v>
      </c>
      <c r="Q31" t="n">
        <v>30.9</v>
      </c>
      <c r="R31" t="n">
        <v>32.7</v>
      </c>
      <c r="S31" t="n">
        <v>33.5</v>
      </c>
      <c r="T31" t="n">
        <v>35.1</v>
      </c>
      <c r="U31" t="n">
        <v>33.5</v>
      </c>
      <c r="V31" t="n">
        <v>58</v>
      </c>
      <c r="W31" t="n">
        <v>62.2</v>
      </c>
      <c r="X31" t="n">
        <v>62.2</v>
      </c>
      <c r="Y31" t="n">
        <v>67.59999999999999</v>
      </c>
      <c r="Z31" t="n">
        <v>66.7</v>
      </c>
      <c r="AA31" t="n">
        <v>71.90000000000001</v>
      </c>
      <c r="AB31" t="n">
        <v>75.40000000000001</v>
      </c>
      <c r="AC31" t="n">
        <v>74.2</v>
      </c>
      <c r="AD31" t="n">
        <v>77</v>
      </c>
      <c r="AE31" t="n">
        <v>77.59999999999999</v>
      </c>
      <c r="AF31" t="n">
        <v>76</v>
      </c>
      <c r="AG31" t="n">
        <v>75.40000000000001</v>
      </c>
      <c r="AH31" t="n">
        <v>72.90000000000001</v>
      </c>
      <c r="AI31" t="n">
        <v>72.09999999999999</v>
      </c>
      <c r="AJ31" t="n">
        <v>68.5</v>
      </c>
      <c r="AK31" t="n">
        <v>70.90000000000001</v>
      </c>
      <c r="AL31" t="n">
        <v>69.40000000000001</v>
      </c>
      <c r="AM31" t="n">
        <v>70.09999999999999</v>
      </c>
      <c r="AN31" t="n">
        <v>64.09999999999999</v>
      </c>
      <c r="AO31" t="n">
        <v>67.2</v>
      </c>
    </row>
    <row r="32">
      <c r="A32" t="inlineStr">
        <is>
          <t xml:space="preserve">    Mathematik — Assistant Professors</t>
        </is>
      </c>
      <c r="B32" t="n">
        <v>2</v>
      </c>
      <c r="C32" t="n">
        <v>5</v>
      </c>
      <c r="D32" t="n">
        <v>4</v>
      </c>
      <c r="E32" t="n">
        <v>5</v>
      </c>
      <c r="F32" t="n">
        <v>6</v>
      </c>
      <c r="G32" t="n">
        <v>6</v>
      </c>
      <c r="H32" t="n">
        <v>8</v>
      </c>
      <c r="I32" t="n">
        <v>6</v>
      </c>
      <c r="J32" t="n">
        <v>6</v>
      </c>
      <c r="K32" t="n">
        <v>10.5</v>
      </c>
      <c r="L32" t="n">
        <v>11</v>
      </c>
      <c r="M32" t="n">
        <v>11</v>
      </c>
      <c r="N32" t="n">
        <v>9.4</v>
      </c>
      <c r="O32" t="n">
        <v>9</v>
      </c>
      <c r="P32" t="n">
        <v>7</v>
      </c>
      <c r="Q32" t="n">
        <v>5</v>
      </c>
      <c r="R32" t="n">
        <v>3</v>
      </c>
      <c r="S32" t="n">
        <v>3</v>
      </c>
      <c r="T32" t="n">
        <v>2</v>
      </c>
      <c r="U32" t="n">
        <v>1</v>
      </c>
      <c r="V32" t="n">
        <v>50</v>
      </c>
      <c r="W32" t="n">
        <v>80</v>
      </c>
      <c r="X32" t="n">
        <v>75</v>
      </c>
      <c r="Y32" t="n">
        <v>80</v>
      </c>
      <c r="Z32" t="n">
        <v>83.3</v>
      </c>
      <c r="AA32" t="n">
        <v>100</v>
      </c>
      <c r="AB32" t="n">
        <v>100</v>
      </c>
      <c r="AC32" t="n">
        <v>100</v>
      </c>
      <c r="AD32" t="n">
        <v>100</v>
      </c>
      <c r="AE32" t="n">
        <v>95.2</v>
      </c>
      <c r="AF32" t="n">
        <v>72.7</v>
      </c>
      <c r="AG32" t="n">
        <v>72.7</v>
      </c>
      <c r="AH32" t="n">
        <v>76.59999999999999</v>
      </c>
      <c r="AI32" t="n">
        <v>66.7</v>
      </c>
      <c r="AJ32" t="n">
        <v>71.40000000000001</v>
      </c>
      <c r="AK32" t="n">
        <v>80</v>
      </c>
      <c r="AL32" t="n">
        <v>66.7</v>
      </c>
      <c r="AM32" t="n">
        <v>66.7</v>
      </c>
      <c r="AN32" t="n">
        <v>100</v>
      </c>
      <c r="AO32" t="n">
        <v>100</v>
      </c>
    </row>
    <row r="33">
      <c r="A33" t="inlineStr">
        <is>
          <t xml:space="preserve">    Physik — Full Professors</t>
        </is>
      </c>
      <c r="B33" t="n">
        <v>20</v>
      </c>
      <c r="C33" t="n">
        <v>20</v>
      </c>
      <c r="D33" t="n">
        <v>20</v>
      </c>
      <c r="E33" t="n">
        <v>23.2</v>
      </c>
      <c r="F33" t="n">
        <v>26.2</v>
      </c>
      <c r="G33" t="n">
        <v>27.2</v>
      </c>
      <c r="H33" t="n">
        <v>28.2</v>
      </c>
      <c r="I33" t="n">
        <v>28.8</v>
      </c>
      <c r="J33" t="n">
        <v>28.6</v>
      </c>
      <c r="K33" t="n">
        <v>28.3</v>
      </c>
      <c r="L33" t="n">
        <v>26</v>
      </c>
      <c r="M33" t="n">
        <v>29</v>
      </c>
      <c r="N33" t="n">
        <v>28.5</v>
      </c>
      <c r="O33" t="n">
        <v>29.2</v>
      </c>
      <c r="P33" t="n">
        <v>28.2</v>
      </c>
      <c r="Q33" t="n">
        <v>30</v>
      </c>
      <c r="R33" t="n">
        <v>28</v>
      </c>
      <c r="S33" t="n">
        <v>28</v>
      </c>
      <c r="T33" t="n">
        <v>27</v>
      </c>
      <c r="U33" t="n">
        <v>29</v>
      </c>
      <c r="V33" t="n">
        <v>50</v>
      </c>
      <c r="W33" t="n">
        <v>55</v>
      </c>
      <c r="X33" t="n">
        <v>55</v>
      </c>
      <c r="Y33" t="n">
        <v>56.9</v>
      </c>
      <c r="Z33" t="n">
        <v>61.8</v>
      </c>
      <c r="AA33" t="n">
        <v>66.90000000000001</v>
      </c>
      <c r="AB33" t="n">
        <v>64.5</v>
      </c>
      <c r="AC33" t="n">
        <v>65.3</v>
      </c>
      <c r="AD33" t="n">
        <v>62.2</v>
      </c>
      <c r="AE33" t="n">
        <v>54.1</v>
      </c>
      <c r="AF33" t="n">
        <v>50</v>
      </c>
      <c r="AG33" t="n">
        <v>48.3</v>
      </c>
      <c r="AH33" t="n">
        <v>47.4</v>
      </c>
      <c r="AI33" t="n">
        <v>48.6</v>
      </c>
      <c r="AJ33" t="n">
        <v>50.4</v>
      </c>
      <c r="AK33" t="n">
        <v>50.7</v>
      </c>
      <c r="AL33" t="n">
        <v>47.1</v>
      </c>
      <c r="AM33" t="n">
        <v>47.1</v>
      </c>
      <c r="AN33" t="n">
        <v>45.2</v>
      </c>
      <c r="AO33" t="n">
        <v>45.5</v>
      </c>
    </row>
    <row r="34">
      <c r="A34" t="inlineStr">
        <is>
          <t xml:space="preserve">    Physik — Assistant Professors</t>
        </is>
      </c>
      <c r="B34" t="n">
        <v>4</v>
      </c>
      <c r="C34" t="n">
        <v>6</v>
      </c>
      <c r="D34" t="n">
        <v>6.8</v>
      </c>
      <c r="E34" t="n">
        <v>6</v>
      </c>
      <c r="F34" t="n">
        <v>6.3</v>
      </c>
      <c r="G34" t="n">
        <v>8.300000000000001</v>
      </c>
      <c r="H34" t="n">
        <v>8.300000000000001</v>
      </c>
      <c r="I34" t="n">
        <v>6.8</v>
      </c>
      <c r="J34" t="n">
        <v>5</v>
      </c>
      <c r="K34" t="n">
        <v>6</v>
      </c>
      <c r="L34" t="n">
        <v>8</v>
      </c>
      <c r="M34" t="n">
        <v>5</v>
      </c>
      <c r="N34" t="n">
        <v>4</v>
      </c>
      <c r="O34" t="n">
        <v>6</v>
      </c>
      <c r="P34" t="n">
        <v>6.5</v>
      </c>
      <c r="Q34" t="n">
        <v>7</v>
      </c>
      <c r="R34" t="n">
        <v>8.199999999999999</v>
      </c>
      <c r="S34" t="n">
        <v>10.8</v>
      </c>
      <c r="T34" t="n">
        <v>11.9</v>
      </c>
      <c r="U34" t="n">
        <v>11</v>
      </c>
      <c r="V34" t="n">
        <v>50</v>
      </c>
      <c r="W34" t="n">
        <v>50</v>
      </c>
      <c r="X34" t="n">
        <v>55.9</v>
      </c>
      <c r="Y34" t="n">
        <v>66.7</v>
      </c>
      <c r="Z34" t="n">
        <v>68.3</v>
      </c>
      <c r="AA34" t="n">
        <v>63.9</v>
      </c>
      <c r="AB34" t="n">
        <v>63.9</v>
      </c>
      <c r="AC34" t="n">
        <v>55.9</v>
      </c>
      <c r="AD34" t="n">
        <v>40</v>
      </c>
      <c r="AE34" t="n">
        <v>33.3</v>
      </c>
      <c r="AF34" t="n">
        <v>50</v>
      </c>
      <c r="AG34" t="n">
        <v>20</v>
      </c>
      <c r="AH34" t="n">
        <v>50</v>
      </c>
      <c r="AI34" t="n">
        <v>66.7</v>
      </c>
      <c r="AJ34" t="n">
        <v>69.2</v>
      </c>
      <c r="AK34" t="n">
        <v>100</v>
      </c>
      <c r="AL34" t="n">
        <v>100</v>
      </c>
      <c r="AM34" t="n">
        <v>92.59999999999999</v>
      </c>
      <c r="AN34" t="n">
        <v>92.40000000000001</v>
      </c>
      <c r="AO34" t="n">
        <v>90.90000000000001</v>
      </c>
    </row>
    <row r="35">
      <c r="A35" t="inlineStr">
        <is>
          <t xml:space="preserve">    Chemie u. Ang.Bio. — Full Professors</t>
        </is>
      </c>
      <c r="B35" t="n">
        <v>30</v>
      </c>
      <c r="C35" t="n">
        <v>30</v>
      </c>
      <c r="D35" t="n">
        <v>30</v>
      </c>
      <c r="E35" t="n">
        <v>30</v>
      </c>
      <c r="F35" t="n">
        <v>33</v>
      </c>
      <c r="G35" t="n">
        <v>35</v>
      </c>
      <c r="H35" t="n">
        <v>33</v>
      </c>
      <c r="I35" t="n">
        <v>35</v>
      </c>
      <c r="J35" t="n">
        <v>33.8</v>
      </c>
      <c r="K35" t="n">
        <v>32.8</v>
      </c>
      <c r="L35" t="n">
        <v>32.8</v>
      </c>
      <c r="M35" t="n">
        <v>33</v>
      </c>
      <c r="N35" t="n">
        <v>32</v>
      </c>
      <c r="O35" t="n">
        <v>32.5</v>
      </c>
      <c r="P35" t="n">
        <v>32.5</v>
      </c>
      <c r="Q35" t="n">
        <v>31.5</v>
      </c>
      <c r="R35" t="n">
        <v>31.5</v>
      </c>
      <c r="S35" t="n">
        <v>34</v>
      </c>
      <c r="T35" t="n">
        <v>35</v>
      </c>
      <c r="U35" t="n">
        <v>34</v>
      </c>
      <c r="V35" t="n">
        <v>70</v>
      </c>
      <c r="W35" t="n">
        <v>70</v>
      </c>
      <c r="X35" t="n">
        <v>70</v>
      </c>
      <c r="Y35" t="n">
        <v>70</v>
      </c>
      <c r="Z35" t="n">
        <v>75.8</v>
      </c>
      <c r="AA35" t="n">
        <v>74.3</v>
      </c>
      <c r="AB35" t="n">
        <v>72.7</v>
      </c>
      <c r="AC35" t="n">
        <v>62.9</v>
      </c>
      <c r="AD35" t="n">
        <v>58.6</v>
      </c>
      <c r="AE35" t="n">
        <v>57.3</v>
      </c>
      <c r="AF35" t="n">
        <v>57.3</v>
      </c>
      <c r="AG35" t="n">
        <v>60.6</v>
      </c>
      <c r="AH35" t="n">
        <v>62.5</v>
      </c>
      <c r="AI35" t="n">
        <v>58.5</v>
      </c>
      <c r="AJ35" t="n">
        <v>58.5</v>
      </c>
      <c r="AK35" t="n">
        <v>60.3</v>
      </c>
      <c r="AL35" t="n">
        <v>63.5</v>
      </c>
      <c r="AM35" t="n">
        <v>64.7</v>
      </c>
      <c r="AN35" t="n">
        <v>60</v>
      </c>
      <c r="AO35" t="n">
        <v>58.8</v>
      </c>
    </row>
    <row r="36">
      <c r="A36" t="inlineStr">
        <is>
          <t xml:space="preserve">    Chemie u. Ang.Bio. — Assistant Professors</t>
        </is>
      </c>
      <c r="B36" t="n">
        <v>5</v>
      </c>
      <c r="C36" t="n">
        <v>4</v>
      </c>
      <c r="D36" t="n">
        <v>6</v>
      </c>
      <c r="E36" t="n">
        <v>5</v>
      </c>
      <c r="F36" t="n">
        <v>5</v>
      </c>
      <c r="G36" t="n">
        <v>7</v>
      </c>
      <c r="H36" t="n">
        <v>6</v>
      </c>
      <c r="I36" t="n">
        <v>4</v>
      </c>
      <c r="J36" t="n">
        <v>3</v>
      </c>
      <c r="K36" t="n">
        <v>5</v>
      </c>
      <c r="L36" t="n">
        <v>7</v>
      </c>
      <c r="M36" t="n">
        <v>6</v>
      </c>
      <c r="N36" t="n">
        <v>7</v>
      </c>
      <c r="O36" t="n">
        <v>6</v>
      </c>
      <c r="P36" t="n">
        <v>6</v>
      </c>
      <c r="Q36" t="n">
        <v>8</v>
      </c>
      <c r="R36" t="n">
        <v>7</v>
      </c>
      <c r="S36" t="n">
        <v>6</v>
      </c>
      <c r="T36" t="n">
        <v>7</v>
      </c>
      <c r="U36" t="n">
        <v>7</v>
      </c>
      <c r="V36" t="n">
        <v>40</v>
      </c>
      <c r="W36" t="n">
        <v>50</v>
      </c>
      <c r="X36" t="n">
        <v>66.7</v>
      </c>
      <c r="Y36" t="n">
        <v>80</v>
      </c>
      <c r="Z36" t="n">
        <v>80</v>
      </c>
      <c r="AA36" t="n">
        <v>85.7</v>
      </c>
      <c r="AB36" t="n">
        <v>66.7</v>
      </c>
      <c r="AC36" t="n">
        <v>75</v>
      </c>
      <c r="AD36" t="n">
        <v>66.7</v>
      </c>
      <c r="AE36" t="n">
        <v>80</v>
      </c>
      <c r="AF36" t="n">
        <v>85.7</v>
      </c>
      <c r="AG36" t="n">
        <v>83.3</v>
      </c>
      <c r="AH36" t="n">
        <v>85.7</v>
      </c>
      <c r="AI36" t="n">
        <v>83.3</v>
      </c>
      <c r="AJ36" t="n">
        <v>83.3</v>
      </c>
      <c r="AK36" t="n">
        <v>75</v>
      </c>
      <c r="AL36" t="n">
        <v>71.40000000000001</v>
      </c>
      <c r="AM36" t="n">
        <v>66.7</v>
      </c>
      <c r="AN36" t="n">
        <v>57.1</v>
      </c>
      <c r="AO36" t="n">
        <v>42.9</v>
      </c>
    </row>
    <row r="37">
      <c r="A37" t="inlineStr">
        <is>
          <t xml:space="preserve">    Biologie — Full Professors</t>
        </is>
      </c>
      <c r="B37" t="n">
        <v>22.8</v>
      </c>
      <c r="C37" t="n">
        <v>25.8</v>
      </c>
      <c r="D37" t="n">
        <v>24.6</v>
      </c>
      <c r="E37" t="n">
        <v>25</v>
      </c>
      <c r="F37" t="n">
        <v>27.4</v>
      </c>
      <c r="G37" t="n">
        <v>26.4</v>
      </c>
      <c r="H37" t="n">
        <v>26.4</v>
      </c>
      <c r="I37" t="n">
        <v>28.4</v>
      </c>
      <c r="J37" t="n">
        <v>27</v>
      </c>
      <c r="K37" t="n">
        <v>27</v>
      </c>
      <c r="L37" t="n">
        <v>27</v>
      </c>
      <c r="M37" t="n">
        <v>27.5</v>
      </c>
      <c r="N37" t="n">
        <v>27.5</v>
      </c>
      <c r="O37" t="n">
        <v>29.5</v>
      </c>
      <c r="P37" t="n">
        <v>28.9</v>
      </c>
      <c r="Q37" t="n">
        <v>29.5</v>
      </c>
      <c r="R37" t="n">
        <v>29</v>
      </c>
      <c r="S37" t="n">
        <v>29</v>
      </c>
      <c r="T37" t="n">
        <v>30</v>
      </c>
      <c r="U37" t="n">
        <v>27</v>
      </c>
      <c r="V37" t="n">
        <v>78.90000000000001</v>
      </c>
      <c r="W37" t="n">
        <v>73.59999999999999</v>
      </c>
      <c r="X37" t="n">
        <v>65</v>
      </c>
      <c r="Y37" t="n">
        <v>72</v>
      </c>
      <c r="Z37" t="n">
        <v>74.5</v>
      </c>
      <c r="AA37" t="n">
        <v>69.7</v>
      </c>
      <c r="AB37" t="n">
        <v>69.7</v>
      </c>
      <c r="AC37" t="n">
        <v>71.8</v>
      </c>
      <c r="AD37" t="n">
        <v>70.40000000000001</v>
      </c>
      <c r="AE37" t="n">
        <v>70.40000000000001</v>
      </c>
      <c r="AF37" t="n">
        <v>66.7</v>
      </c>
      <c r="AG37" t="n">
        <v>65.5</v>
      </c>
      <c r="AH37" t="n">
        <v>65.5</v>
      </c>
      <c r="AI37" t="n">
        <v>64.40000000000001</v>
      </c>
      <c r="AJ37" t="n">
        <v>69.2</v>
      </c>
      <c r="AK37" t="n">
        <v>67.8</v>
      </c>
      <c r="AL37" t="n">
        <v>69</v>
      </c>
      <c r="AM37" t="n">
        <v>69</v>
      </c>
      <c r="AN37" t="n">
        <v>66.7</v>
      </c>
      <c r="AO37" t="n">
        <v>74.09999999999999</v>
      </c>
    </row>
    <row r="38">
      <c r="A38" t="inlineStr">
        <is>
          <t xml:space="preserve">    Biologie — Assistant Professors</t>
        </is>
      </c>
      <c r="B38" t="n">
        <v>12</v>
      </c>
      <c r="C38" t="n">
        <v>11</v>
      </c>
      <c r="D38" t="n">
        <v>8</v>
      </c>
      <c r="E38" t="n">
        <v>8</v>
      </c>
      <c r="F38" t="n">
        <v>7</v>
      </c>
      <c r="G38" t="n">
        <v>6.8</v>
      </c>
      <c r="H38" t="n">
        <v>4.8</v>
      </c>
      <c r="I38" t="n">
        <v>7.8</v>
      </c>
      <c r="J38" t="n">
        <v>12.8</v>
      </c>
      <c r="K38" t="n">
        <v>13</v>
      </c>
      <c r="L38" t="n">
        <v>13</v>
      </c>
      <c r="M38" t="n">
        <v>13</v>
      </c>
      <c r="N38" t="n">
        <v>13</v>
      </c>
      <c r="O38" t="n">
        <v>11</v>
      </c>
      <c r="P38" t="n">
        <v>9</v>
      </c>
      <c r="Q38" t="n">
        <v>9</v>
      </c>
      <c r="R38" t="n">
        <v>10</v>
      </c>
      <c r="S38" t="n">
        <v>9</v>
      </c>
      <c r="T38" t="n">
        <v>7.8</v>
      </c>
      <c r="U38" t="n">
        <v>10.8</v>
      </c>
      <c r="V38" t="n">
        <v>41.7</v>
      </c>
      <c r="W38" t="n">
        <v>45.5</v>
      </c>
      <c r="X38" t="n">
        <v>62.5</v>
      </c>
      <c r="Y38" t="n">
        <v>62.5</v>
      </c>
      <c r="Z38" t="n">
        <v>45.7</v>
      </c>
      <c r="AA38" t="n">
        <v>58.8</v>
      </c>
      <c r="AB38" t="n">
        <v>62.5</v>
      </c>
      <c r="AC38" t="n">
        <v>64.09999999999999</v>
      </c>
      <c r="AD38" t="n">
        <v>78.09999999999999</v>
      </c>
      <c r="AE38" t="n">
        <v>84.59999999999999</v>
      </c>
      <c r="AF38" t="n">
        <v>84.59999999999999</v>
      </c>
      <c r="AG38" t="n">
        <v>84.59999999999999</v>
      </c>
      <c r="AH38" t="n">
        <v>84.59999999999999</v>
      </c>
      <c r="AI38" t="n">
        <v>90.90000000000001</v>
      </c>
      <c r="AJ38" t="n">
        <v>88.90000000000001</v>
      </c>
      <c r="AK38" t="n">
        <v>77.8</v>
      </c>
      <c r="AL38" t="n">
        <v>70</v>
      </c>
      <c r="AM38" t="n">
        <v>75.59999999999999</v>
      </c>
      <c r="AN38" t="n">
        <v>61.5</v>
      </c>
      <c r="AO38" t="n">
        <v>63</v>
      </c>
    </row>
    <row r="39">
      <c r="A39">
        <f>== Systemorientierte Naturwissenschaften ===</f>
        <v/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 xml:space="preserve">  [Faculty total] Full Professors</t>
        </is>
      </c>
      <c r="B40" t="n">
        <v>56.3</v>
      </c>
      <c r="C40" t="n">
        <v>54.3</v>
      </c>
      <c r="D40" t="n">
        <v>54.6</v>
      </c>
      <c r="E40" t="n">
        <v>55.3</v>
      </c>
      <c r="F40" t="n">
        <v>56.3</v>
      </c>
      <c r="G40" t="n">
        <v>57.3</v>
      </c>
      <c r="H40" t="n">
        <v>63.1</v>
      </c>
      <c r="I40" t="n">
        <v>68</v>
      </c>
      <c r="J40" t="n">
        <v>67.09999999999999</v>
      </c>
      <c r="K40" t="n">
        <v>67.09999999999999</v>
      </c>
      <c r="L40" t="n">
        <v>68.7</v>
      </c>
      <c r="M40" t="n">
        <v>71.90000000000001</v>
      </c>
      <c r="N40" t="n">
        <v>72.8</v>
      </c>
      <c r="O40" t="n">
        <v>70.90000000000001</v>
      </c>
      <c r="P40" t="n">
        <v>70.90000000000001</v>
      </c>
      <c r="Q40" t="n">
        <v>70.90000000000001</v>
      </c>
      <c r="R40" t="n">
        <v>72.3</v>
      </c>
      <c r="S40" t="n">
        <v>69.09999999999999</v>
      </c>
      <c r="T40" t="n">
        <v>73.59999999999999</v>
      </c>
      <c r="U40" t="n">
        <v>73.8</v>
      </c>
      <c r="V40" t="n">
        <v>62.2</v>
      </c>
      <c r="W40" t="n">
        <v>62.6</v>
      </c>
      <c r="X40" t="n">
        <v>64.09999999999999</v>
      </c>
      <c r="Y40" t="n">
        <v>66.90000000000001</v>
      </c>
      <c r="Z40" t="n">
        <v>69.3</v>
      </c>
      <c r="AA40" t="n">
        <v>71.59999999999999</v>
      </c>
      <c r="AB40" t="n">
        <v>68.09999999999999</v>
      </c>
      <c r="AC40" t="n">
        <v>70.59999999999999</v>
      </c>
      <c r="AD40" t="n">
        <v>68.7</v>
      </c>
      <c r="AE40" t="n">
        <v>70.2</v>
      </c>
      <c r="AF40" t="n">
        <v>68.3</v>
      </c>
      <c r="AG40" t="n">
        <v>66.59999999999999</v>
      </c>
      <c r="AH40" t="n">
        <v>64.3</v>
      </c>
      <c r="AI40" t="n">
        <v>63.3</v>
      </c>
      <c r="AJ40" t="n">
        <v>64.7</v>
      </c>
      <c r="AK40" t="n">
        <v>61.9</v>
      </c>
      <c r="AL40" t="n">
        <v>60.7</v>
      </c>
      <c r="AM40" t="n">
        <v>57.7</v>
      </c>
      <c r="AN40" t="n">
        <v>60.1</v>
      </c>
      <c r="AO40" t="n">
        <v>58.5</v>
      </c>
    </row>
    <row r="41">
      <c r="A41" t="inlineStr">
        <is>
          <t xml:space="preserve">  [Faculty total] Assistant Professors</t>
        </is>
      </c>
      <c r="B41" t="n">
        <v>4.8</v>
      </c>
      <c r="C41" t="n">
        <v>7.8</v>
      </c>
      <c r="D41" t="n">
        <v>7.8</v>
      </c>
      <c r="E41" t="n">
        <v>8</v>
      </c>
      <c r="F41" t="n">
        <v>7.2</v>
      </c>
      <c r="G41" t="n">
        <v>10</v>
      </c>
      <c r="H41" t="n">
        <v>12</v>
      </c>
      <c r="I41" t="n">
        <v>11.2</v>
      </c>
      <c r="J41" t="n">
        <v>11.2</v>
      </c>
      <c r="K41" t="n">
        <v>10</v>
      </c>
      <c r="L41" t="n">
        <v>12</v>
      </c>
      <c r="M41" t="n">
        <v>19</v>
      </c>
      <c r="N41" t="n">
        <v>21</v>
      </c>
      <c r="O41" t="n">
        <v>26</v>
      </c>
      <c r="P41" t="n">
        <v>31</v>
      </c>
      <c r="Q41" t="n">
        <v>32.2</v>
      </c>
      <c r="R41" t="n">
        <v>29.4</v>
      </c>
      <c r="S41" t="n">
        <v>29.2</v>
      </c>
      <c r="T41" t="n">
        <v>28.2</v>
      </c>
      <c r="U41" t="n">
        <v>25.2</v>
      </c>
      <c r="V41" t="n">
        <v>20.8</v>
      </c>
      <c r="W41" t="n">
        <v>25.6</v>
      </c>
      <c r="X41" t="n">
        <v>51.3</v>
      </c>
      <c r="Y41" t="n">
        <v>40</v>
      </c>
      <c r="Z41" t="n">
        <v>44.4</v>
      </c>
      <c r="AA41" t="n">
        <v>60</v>
      </c>
      <c r="AB41" t="n">
        <v>41.7</v>
      </c>
      <c r="AC41" t="n">
        <v>55.4</v>
      </c>
      <c r="AD41" t="n">
        <v>55.4</v>
      </c>
      <c r="AE41" t="n">
        <v>60</v>
      </c>
      <c r="AF41" t="n">
        <v>58.3</v>
      </c>
      <c r="AG41" t="n">
        <v>63.2</v>
      </c>
      <c r="AH41" t="n">
        <v>66.7</v>
      </c>
      <c r="AI41" t="n">
        <v>69.2</v>
      </c>
      <c r="AJ41" t="n">
        <v>71</v>
      </c>
      <c r="AK41" t="n">
        <v>80.7</v>
      </c>
      <c r="AL41" t="n">
        <v>85.7</v>
      </c>
      <c r="AM41" t="n">
        <v>85.59999999999999</v>
      </c>
      <c r="AN41" t="n">
        <v>85.09999999999999</v>
      </c>
      <c r="AO41" t="n">
        <v>87.3</v>
      </c>
    </row>
    <row r="42">
      <c r="A42" t="inlineStr">
        <is>
          <t xml:space="preserve">    Erd- u Planetenwis — Full Professors</t>
        </is>
      </c>
      <c r="B42" t="n">
        <v>13</v>
      </c>
      <c r="C42" t="n">
        <v>13</v>
      </c>
      <c r="D42" t="n">
        <v>13</v>
      </c>
      <c r="E42" t="n">
        <v>12</v>
      </c>
      <c r="F42" t="n">
        <v>12</v>
      </c>
      <c r="G42" t="n">
        <v>12</v>
      </c>
      <c r="H42" t="n">
        <v>15</v>
      </c>
      <c r="I42" t="n">
        <v>16</v>
      </c>
      <c r="J42" t="n">
        <v>16</v>
      </c>
      <c r="K42" t="n">
        <v>16.1</v>
      </c>
      <c r="L42" t="n">
        <v>15.9</v>
      </c>
      <c r="M42" t="n">
        <v>16.9</v>
      </c>
      <c r="N42" t="n">
        <v>18.1</v>
      </c>
      <c r="O42" t="n">
        <v>17.1</v>
      </c>
      <c r="P42" t="n">
        <v>16.1</v>
      </c>
      <c r="Q42" t="n">
        <v>16.1</v>
      </c>
      <c r="R42" t="n">
        <v>15.1</v>
      </c>
      <c r="S42" t="n">
        <v>15.7</v>
      </c>
      <c r="T42" t="n">
        <v>15.7</v>
      </c>
      <c r="U42" t="n">
        <v>14.7</v>
      </c>
      <c r="V42" t="n">
        <v>76.90000000000001</v>
      </c>
      <c r="W42" t="n">
        <v>76.90000000000001</v>
      </c>
      <c r="X42" t="n">
        <v>76.90000000000001</v>
      </c>
      <c r="Y42" t="n">
        <v>83.3</v>
      </c>
      <c r="Z42" t="n">
        <v>83.3</v>
      </c>
      <c r="AA42" t="n">
        <v>83.3</v>
      </c>
      <c r="AB42" t="n">
        <v>73.3</v>
      </c>
      <c r="AC42" t="n">
        <v>68.8</v>
      </c>
      <c r="AD42" t="n">
        <v>68.8</v>
      </c>
      <c r="AE42" t="n">
        <v>68.90000000000001</v>
      </c>
      <c r="AF42" t="n">
        <v>68.59999999999999</v>
      </c>
      <c r="AG42" t="n">
        <v>70.40000000000001</v>
      </c>
      <c r="AH42" t="n">
        <v>72.40000000000001</v>
      </c>
      <c r="AI42" t="n">
        <v>76.59999999999999</v>
      </c>
      <c r="AJ42" t="n">
        <v>75.2</v>
      </c>
      <c r="AK42" t="n">
        <v>68.90000000000001</v>
      </c>
      <c r="AL42" t="n">
        <v>73.5</v>
      </c>
      <c r="AM42" t="n">
        <v>64.3</v>
      </c>
      <c r="AN42" t="n">
        <v>64.3</v>
      </c>
      <c r="AO42" t="n">
        <v>61.9</v>
      </c>
    </row>
    <row r="43">
      <c r="A43" t="inlineStr">
        <is>
          <t xml:space="preserve">    Erd- u Planetenwis — Assistant Professors</t>
        </is>
      </c>
      <c r="B43" t="n">
        <v>2</v>
      </c>
      <c r="C43" t="n">
        <v>2</v>
      </c>
      <c r="D43" t="n">
        <v>1</v>
      </c>
      <c r="E43" t="n">
        <v>1</v>
      </c>
      <c r="F43" t="n">
        <v>2</v>
      </c>
      <c r="G43" t="n">
        <v>2</v>
      </c>
      <c r="H43" t="n">
        <v>2</v>
      </c>
      <c r="I43" t="n">
        <v>4</v>
      </c>
      <c r="J43" t="n">
        <v>3</v>
      </c>
      <c r="K43" t="n">
        <v>2</v>
      </c>
      <c r="L43" t="n">
        <v>3</v>
      </c>
      <c r="M43" t="n">
        <v>3</v>
      </c>
      <c r="N43" t="n">
        <v>2</v>
      </c>
      <c r="O43" t="n">
        <v>3</v>
      </c>
      <c r="P43" t="n">
        <v>3</v>
      </c>
      <c r="Q43" t="n">
        <v>3</v>
      </c>
      <c r="R43" t="n">
        <v>4</v>
      </c>
      <c r="S43" t="n">
        <v>6</v>
      </c>
      <c r="T43" t="n">
        <v>6</v>
      </c>
      <c r="U43" t="n">
        <v>7</v>
      </c>
      <c r="V43" t="inlineStr"/>
      <c r="W43" t="n">
        <v>50</v>
      </c>
      <c r="X43" t="n">
        <v>100</v>
      </c>
      <c r="Y43" t="n">
        <v>100</v>
      </c>
      <c r="Z43" t="n">
        <v>100</v>
      </c>
      <c r="AA43" t="n">
        <v>100</v>
      </c>
      <c r="AB43" t="n">
        <v>50</v>
      </c>
      <c r="AC43" t="n">
        <v>75</v>
      </c>
      <c r="AD43" t="n">
        <v>66.7</v>
      </c>
      <c r="AE43" t="n">
        <v>100</v>
      </c>
      <c r="AF43" t="n">
        <v>66.7</v>
      </c>
      <c r="AG43" t="n">
        <v>66.7</v>
      </c>
      <c r="AH43" t="n">
        <v>50</v>
      </c>
      <c r="AI43" t="n">
        <v>66.7</v>
      </c>
      <c r="AJ43" t="n">
        <v>66.7</v>
      </c>
      <c r="AK43" t="n">
        <v>100</v>
      </c>
      <c r="AL43" t="n">
        <v>100</v>
      </c>
      <c r="AM43" t="n">
        <v>100</v>
      </c>
      <c r="AN43" t="n">
        <v>100</v>
      </c>
      <c r="AO43" t="n">
        <v>100</v>
      </c>
    </row>
    <row r="44">
      <c r="A44" t="inlineStr">
        <is>
          <t xml:space="preserve">    Umweltsystemwiss. — Full Professors</t>
        </is>
      </c>
      <c r="B44" t="n">
        <v>32</v>
      </c>
      <c r="C44" t="n">
        <v>30</v>
      </c>
      <c r="D44" t="n">
        <v>31.6</v>
      </c>
      <c r="E44" t="n">
        <v>31.3</v>
      </c>
      <c r="F44" t="n">
        <v>31.3</v>
      </c>
      <c r="G44" t="n">
        <v>31.3</v>
      </c>
      <c r="H44" t="n">
        <v>32.6</v>
      </c>
      <c r="I44" t="n">
        <v>36</v>
      </c>
      <c r="J44" t="n">
        <v>34.1</v>
      </c>
      <c r="K44" t="n">
        <v>33</v>
      </c>
      <c r="L44" t="n">
        <v>33.8</v>
      </c>
      <c r="M44" t="n">
        <v>32</v>
      </c>
      <c r="N44" t="n">
        <v>33</v>
      </c>
      <c r="O44" t="n">
        <v>32</v>
      </c>
      <c r="P44" t="n">
        <v>32</v>
      </c>
      <c r="Q44" t="n">
        <v>32</v>
      </c>
      <c r="R44" t="n">
        <v>33</v>
      </c>
      <c r="S44" t="n">
        <v>32</v>
      </c>
      <c r="T44" t="n">
        <v>33</v>
      </c>
      <c r="U44" t="n">
        <v>33</v>
      </c>
      <c r="V44" t="n">
        <v>56.2</v>
      </c>
      <c r="W44" t="n">
        <v>56.7</v>
      </c>
      <c r="X44" t="n">
        <v>57</v>
      </c>
      <c r="Y44" t="n">
        <v>57.5</v>
      </c>
      <c r="Z44" t="n">
        <v>60.7</v>
      </c>
      <c r="AA44" t="n">
        <v>63.9</v>
      </c>
      <c r="AB44" t="n">
        <v>61.3</v>
      </c>
      <c r="AC44" t="n">
        <v>66.7</v>
      </c>
      <c r="AD44" t="n">
        <v>64.8</v>
      </c>
      <c r="AE44" t="n">
        <v>66.7</v>
      </c>
      <c r="AF44" t="n">
        <v>62.1</v>
      </c>
      <c r="AG44" t="n">
        <v>59.4</v>
      </c>
      <c r="AH44" t="n">
        <v>54.5</v>
      </c>
      <c r="AI44" t="n">
        <v>53.1</v>
      </c>
      <c r="AJ44" t="n">
        <v>56.2</v>
      </c>
      <c r="AK44" t="n">
        <v>53.1</v>
      </c>
      <c r="AL44" t="n">
        <v>51.5</v>
      </c>
      <c r="AM44" t="n">
        <v>46.9</v>
      </c>
      <c r="AN44" t="n">
        <v>51.5</v>
      </c>
      <c r="AO44" t="n">
        <v>48.5</v>
      </c>
    </row>
    <row r="45">
      <c r="A45" t="inlineStr">
        <is>
          <t xml:space="preserve">    Umweltsystemwiss. — Assistant Professors</t>
        </is>
      </c>
      <c r="B45" t="n">
        <v>2.8</v>
      </c>
      <c r="C45" t="n">
        <v>5.8</v>
      </c>
      <c r="D45" t="n">
        <v>4.8</v>
      </c>
      <c r="E45" t="n">
        <v>4</v>
      </c>
      <c r="F45" t="n">
        <v>3.2</v>
      </c>
      <c r="G45" t="n">
        <v>6</v>
      </c>
      <c r="H45" t="n">
        <v>7</v>
      </c>
      <c r="I45" t="n">
        <v>4.2</v>
      </c>
      <c r="J45" t="n">
        <v>5.2</v>
      </c>
      <c r="K45" t="n">
        <v>5</v>
      </c>
      <c r="L45" t="n">
        <v>4</v>
      </c>
      <c r="M45" t="n">
        <v>10</v>
      </c>
      <c r="N45" t="n">
        <v>9</v>
      </c>
      <c r="O45" t="n">
        <v>13</v>
      </c>
      <c r="P45" t="n">
        <v>18</v>
      </c>
      <c r="Q45" t="n">
        <v>19.2</v>
      </c>
      <c r="R45" t="n">
        <v>15.4</v>
      </c>
      <c r="S45" t="n">
        <v>14.2</v>
      </c>
      <c r="T45" t="n">
        <v>15.2</v>
      </c>
      <c r="U45" t="n">
        <v>11.2</v>
      </c>
      <c r="V45" t="n">
        <v>35.7</v>
      </c>
      <c r="W45" t="n">
        <v>17.2</v>
      </c>
      <c r="X45" t="n">
        <v>41.7</v>
      </c>
      <c r="Y45" t="n">
        <v>5</v>
      </c>
      <c r="Z45" t="n">
        <v>6.2</v>
      </c>
      <c r="AA45" t="n">
        <v>50</v>
      </c>
      <c r="AB45" t="n">
        <v>42.9</v>
      </c>
      <c r="AC45" t="n">
        <v>52.4</v>
      </c>
      <c r="AD45" t="n">
        <v>61.5</v>
      </c>
      <c r="AE45" t="n">
        <v>60</v>
      </c>
      <c r="AF45" t="n">
        <v>75</v>
      </c>
      <c r="AG45" t="n">
        <v>60</v>
      </c>
      <c r="AH45" t="n">
        <v>66.7</v>
      </c>
      <c r="AI45" t="n">
        <v>69.2</v>
      </c>
      <c r="AJ45" t="n">
        <v>66.7</v>
      </c>
      <c r="AK45" t="n">
        <v>78.09999999999999</v>
      </c>
      <c r="AL45" t="n">
        <v>85.7</v>
      </c>
      <c r="AM45" t="n">
        <v>84.5</v>
      </c>
      <c r="AN45" t="n">
        <v>85.5</v>
      </c>
      <c r="AO45" t="n">
        <v>89.3</v>
      </c>
    </row>
    <row r="46">
      <c r="A46" t="inlineStr">
        <is>
          <t xml:space="preserve">    Ges.wiss.u.Technol — Full Professors</t>
        </is>
      </c>
      <c r="B46" t="n">
        <v>11.3</v>
      </c>
      <c r="C46" t="n">
        <v>11.3</v>
      </c>
      <c r="D46" t="n">
        <v>10</v>
      </c>
      <c r="E46" t="n">
        <v>12</v>
      </c>
      <c r="F46" t="n">
        <v>13</v>
      </c>
      <c r="G46" t="n">
        <v>14</v>
      </c>
      <c r="H46" t="n">
        <v>15.5</v>
      </c>
      <c r="I46" t="n">
        <v>16</v>
      </c>
      <c r="J46" t="n">
        <v>17</v>
      </c>
      <c r="K46" t="n">
        <v>18</v>
      </c>
      <c r="L46" t="n">
        <v>19</v>
      </c>
      <c r="M46" t="n">
        <v>23</v>
      </c>
      <c r="N46" t="n">
        <v>21.7</v>
      </c>
      <c r="O46" t="n">
        <v>21.8</v>
      </c>
      <c r="P46" t="n">
        <v>22.8</v>
      </c>
      <c r="Q46" t="n">
        <v>22.8</v>
      </c>
      <c r="R46" t="n">
        <v>24.2</v>
      </c>
      <c r="S46" t="n">
        <v>21.4</v>
      </c>
      <c r="T46" t="n">
        <v>24.9</v>
      </c>
      <c r="U46" t="n">
        <v>26.1</v>
      </c>
      <c r="V46" t="n">
        <v>61.9</v>
      </c>
      <c r="W46" t="n">
        <v>61.9</v>
      </c>
      <c r="X46" t="n">
        <v>70</v>
      </c>
      <c r="Y46" t="n">
        <v>75</v>
      </c>
      <c r="Z46" t="n">
        <v>76.90000000000001</v>
      </c>
      <c r="AA46" t="n">
        <v>78.59999999999999</v>
      </c>
      <c r="AB46" t="n">
        <v>77.40000000000001</v>
      </c>
      <c r="AC46" t="n">
        <v>81.2</v>
      </c>
      <c r="AD46" t="n">
        <v>76.5</v>
      </c>
      <c r="AE46" t="n">
        <v>77.8</v>
      </c>
      <c r="AF46" t="n">
        <v>78.90000000000001</v>
      </c>
      <c r="AG46" t="n">
        <v>73.90000000000001</v>
      </c>
      <c r="AH46" t="n">
        <v>72.40000000000001</v>
      </c>
      <c r="AI46" t="n">
        <v>67.90000000000001</v>
      </c>
      <c r="AJ46" t="n">
        <v>69.3</v>
      </c>
      <c r="AK46" t="n">
        <v>69.3</v>
      </c>
      <c r="AL46" t="n">
        <v>65.3</v>
      </c>
      <c r="AM46" t="n">
        <v>69.2</v>
      </c>
      <c r="AN46" t="n">
        <v>68.7</v>
      </c>
      <c r="AO46" t="n">
        <v>69.3</v>
      </c>
    </row>
    <row r="47">
      <c r="A47" t="inlineStr">
        <is>
          <t xml:space="preserve">    Ges.wiss.u.Technol — Assistant Professors</t>
        </is>
      </c>
      <c r="B47" t="n">
        <v>0</v>
      </c>
      <c r="C47" t="inlineStr"/>
      <c r="D47" t="n">
        <v>2</v>
      </c>
      <c r="E47" t="n">
        <v>3</v>
      </c>
      <c r="F47" t="n">
        <v>2</v>
      </c>
      <c r="G47" t="n">
        <v>2</v>
      </c>
      <c r="H47" t="n">
        <v>3</v>
      </c>
      <c r="I47" t="n">
        <v>3</v>
      </c>
      <c r="J47" t="n">
        <v>3</v>
      </c>
      <c r="K47" t="n">
        <v>3</v>
      </c>
      <c r="L47" t="n">
        <v>5</v>
      </c>
      <c r="M47" t="n">
        <v>6</v>
      </c>
      <c r="N47" t="n">
        <v>10</v>
      </c>
      <c r="O47" t="n">
        <v>10</v>
      </c>
      <c r="P47" t="n">
        <v>10</v>
      </c>
      <c r="Q47" t="n">
        <v>10</v>
      </c>
      <c r="R47" t="n">
        <v>10</v>
      </c>
      <c r="S47" t="n">
        <v>9</v>
      </c>
      <c r="T47" t="n">
        <v>7</v>
      </c>
      <c r="U47" t="n">
        <v>7</v>
      </c>
      <c r="V47" t="inlineStr"/>
      <c r="W47" t="inlineStr"/>
      <c r="X47" t="n">
        <v>50</v>
      </c>
      <c r="Y47" t="n">
        <v>66.7</v>
      </c>
      <c r="Z47" t="n">
        <v>50</v>
      </c>
      <c r="AA47" t="n">
        <v>50</v>
      </c>
      <c r="AB47" t="n">
        <v>33.3</v>
      </c>
      <c r="AC47" t="n">
        <v>33.3</v>
      </c>
      <c r="AD47" t="n">
        <v>33.3</v>
      </c>
      <c r="AE47" t="n">
        <v>33.3</v>
      </c>
      <c r="AF47" t="n">
        <v>40</v>
      </c>
      <c r="AG47" t="n">
        <v>66.7</v>
      </c>
      <c r="AH47" t="n">
        <v>70</v>
      </c>
      <c r="AI47" t="n">
        <v>70</v>
      </c>
      <c r="AJ47" t="n">
        <v>80</v>
      </c>
      <c r="AK47" t="n">
        <v>80</v>
      </c>
      <c r="AL47" t="n">
        <v>80</v>
      </c>
      <c r="AM47" t="n">
        <v>77.8</v>
      </c>
      <c r="AN47" t="n">
        <v>71.40000000000001</v>
      </c>
      <c r="AO47" t="n">
        <v>71.40000000000001</v>
      </c>
    </row>
    <row r="48">
      <c r="A48" t="inlineStr">
        <is>
          <t xml:space="preserve">    Umweltsystemwiss. (2) — Assistant Professors</t>
        </is>
      </c>
      <c r="B48" t="n">
        <v>0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>
        <f>== Management- und Sozialwissenschaften ===</f>
        <v/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 xml:space="preserve">  [Faculty total] Full Professors</t>
        </is>
      </c>
      <c r="B50" t="n">
        <v>27.2</v>
      </c>
      <c r="C50" t="n">
        <v>27.3</v>
      </c>
      <c r="D50" t="n">
        <v>31.3</v>
      </c>
      <c r="E50" t="n">
        <v>32.3</v>
      </c>
      <c r="F50" t="n">
        <v>33.3</v>
      </c>
      <c r="G50" t="n">
        <v>34.8</v>
      </c>
      <c r="H50" t="n">
        <v>34.8</v>
      </c>
      <c r="I50" t="n">
        <v>38.8</v>
      </c>
      <c r="J50" t="n">
        <v>37.8</v>
      </c>
      <c r="K50" t="n">
        <v>36.5</v>
      </c>
      <c r="L50" t="n">
        <v>38.1</v>
      </c>
      <c r="M50" t="n">
        <v>40.4</v>
      </c>
      <c r="N50" t="n">
        <v>39.4</v>
      </c>
      <c r="O50" t="n">
        <v>39.4</v>
      </c>
      <c r="P50" t="n">
        <v>40.3</v>
      </c>
      <c r="Q50" t="n">
        <v>41.3</v>
      </c>
      <c r="R50" t="n">
        <v>41.3</v>
      </c>
      <c r="S50" t="n">
        <v>45.3</v>
      </c>
      <c r="T50" t="n">
        <v>43.8</v>
      </c>
      <c r="U50" t="n">
        <v>42.4</v>
      </c>
      <c r="V50" t="n">
        <v>60.3</v>
      </c>
      <c r="W50" t="n">
        <v>60.4</v>
      </c>
      <c r="X50" t="n">
        <v>68.7</v>
      </c>
      <c r="Y50" t="n">
        <v>68.09999999999999</v>
      </c>
      <c r="Z50" t="n">
        <v>69.09999999999999</v>
      </c>
      <c r="AA50" t="n">
        <v>71.8</v>
      </c>
      <c r="AB50" t="n">
        <v>71.8</v>
      </c>
      <c r="AC50" t="n">
        <v>72.2</v>
      </c>
      <c r="AD50" t="n">
        <v>71.40000000000001</v>
      </c>
      <c r="AE50" t="n">
        <v>71.2</v>
      </c>
      <c r="AF50" t="n">
        <v>73.5</v>
      </c>
      <c r="AG50" t="n">
        <v>74.3</v>
      </c>
      <c r="AH50" t="n">
        <v>76.09999999999999</v>
      </c>
      <c r="AI50" t="n">
        <v>71.09999999999999</v>
      </c>
      <c r="AJ50" t="n">
        <v>69.5</v>
      </c>
      <c r="AK50" t="n">
        <v>70.2</v>
      </c>
      <c r="AL50" t="n">
        <v>70.2</v>
      </c>
      <c r="AM50" t="n">
        <v>70.59999999999999</v>
      </c>
      <c r="AN50" t="n">
        <v>70.8</v>
      </c>
      <c r="AO50" t="n">
        <v>66</v>
      </c>
    </row>
    <row r="51">
      <c r="A51" t="inlineStr">
        <is>
          <t xml:space="preserve">  [Faculty total] Assistant Professors</t>
        </is>
      </c>
      <c r="B51" t="n">
        <v>2</v>
      </c>
      <c r="C51" t="n">
        <v>2</v>
      </c>
      <c r="D51" t="n">
        <v>4</v>
      </c>
      <c r="E51" t="n">
        <v>6</v>
      </c>
      <c r="F51" t="n">
        <v>5</v>
      </c>
      <c r="G51" t="n">
        <v>5</v>
      </c>
      <c r="H51" t="n">
        <v>6</v>
      </c>
      <c r="I51" t="n">
        <v>6</v>
      </c>
      <c r="J51" t="n">
        <v>6</v>
      </c>
      <c r="K51" t="n">
        <v>6</v>
      </c>
      <c r="L51" t="n">
        <v>6</v>
      </c>
      <c r="M51" t="n">
        <v>7</v>
      </c>
      <c r="N51" t="n">
        <v>7</v>
      </c>
      <c r="O51" t="n">
        <v>7</v>
      </c>
      <c r="P51" t="n">
        <v>5</v>
      </c>
      <c r="Q51" t="n">
        <v>5</v>
      </c>
      <c r="R51" t="n">
        <v>8</v>
      </c>
      <c r="S51" t="n">
        <v>7</v>
      </c>
      <c r="T51" t="n">
        <v>7</v>
      </c>
      <c r="U51" t="n">
        <v>7</v>
      </c>
      <c r="V51" t="n">
        <v>50</v>
      </c>
      <c r="W51" t="n">
        <v>50</v>
      </c>
      <c r="X51" t="n">
        <v>75</v>
      </c>
      <c r="Y51" t="n">
        <v>83.3</v>
      </c>
      <c r="Z51" t="n">
        <v>80</v>
      </c>
      <c r="AA51" t="n">
        <v>100</v>
      </c>
      <c r="AB51" t="n">
        <v>100</v>
      </c>
      <c r="AC51" t="n">
        <v>100</v>
      </c>
      <c r="AD51" t="n">
        <v>100</v>
      </c>
      <c r="AE51" t="n">
        <v>100</v>
      </c>
      <c r="AF51" t="n">
        <v>83.3</v>
      </c>
      <c r="AG51" t="n">
        <v>85.7</v>
      </c>
      <c r="AH51" t="n">
        <v>85.7</v>
      </c>
      <c r="AI51" t="n">
        <v>85.7</v>
      </c>
      <c r="AJ51" t="n">
        <v>80</v>
      </c>
      <c r="AK51" t="n">
        <v>80</v>
      </c>
      <c r="AL51" t="n">
        <v>87.5</v>
      </c>
      <c r="AM51" t="n">
        <v>100</v>
      </c>
      <c r="AN51" t="n">
        <v>100</v>
      </c>
      <c r="AO51" t="n">
        <v>100</v>
      </c>
    </row>
    <row r="52">
      <c r="A52" t="inlineStr">
        <is>
          <t xml:space="preserve">    Manag.,Tech.u.Ök. — Full Professors</t>
        </is>
      </c>
      <c r="B52" t="n">
        <v>11.2</v>
      </c>
      <c r="C52" t="n">
        <v>11.3</v>
      </c>
      <c r="D52" t="n">
        <v>12.3</v>
      </c>
      <c r="E52" t="n">
        <v>13.3</v>
      </c>
      <c r="F52" t="n">
        <v>15.3</v>
      </c>
      <c r="G52" t="n">
        <v>16.8</v>
      </c>
      <c r="H52" t="n">
        <v>15.8</v>
      </c>
      <c r="I52" t="n">
        <v>18.8</v>
      </c>
      <c r="J52" t="n">
        <v>17.8</v>
      </c>
      <c r="K52" t="n">
        <v>17.5</v>
      </c>
      <c r="L52" t="n">
        <v>19.1</v>
      </c>
      <c r="M52" t="n">
        <v>18.4</v>
      </c>
      <c r="N52" t="n">
        <v>18.4</v>
      </c>
      <c r="O52" t="n">
        <v>18.4</v>
      </c>
      <c r="P52" t="n">
        <v>19.3</v>
      </c>
      <c r="Q52" t="n">
        <v>19.3</v>
      </c>
      <c r="R52" t="n">
        <v>18.3</v>
      </c>
      <c r="S52" t="n">
        <v>20.3</v>
      </c>
      <c r="T52" t="n">
        <v>18.3</v>
      </c>
      <c r="U52" t="n">
        <v>18.4</v>
      </c>
      <c r="V52" t="n">
        <v>57.1</v>
      </c>
      <c r="W52" t="n">
        <v>57.5</v>
      </c>
      <c r="X52" t="n">
        <v>69.09999999999999</v>
      </c>
      <c r="Y52" t="n">
        <v>67.7</v>
      </c>
      <c r="Z52" t="n">
        <v>65.40000000000001</v>
      </c>
      <c r="AA52" t="n">
        <v>71.40000000000001</v>
      </c>
      <c r="AB52" t="n">
        <v>69.59999999999999</v>
      </c>
      <c r="AC52" t="n">
        <v>69.09999999999999</v>
      </c>
      <c r="AD52" t="n">
        <v>67.40000000000001</v>
      </c>
      <c r="AE52" t="n">
        <v>68.59999999999999</v>
      </c>
      <c r="AF52" t="n">
        <v>73.3</v>
      </c>
      <c r="AG52" t="n">
        <v>76.09999999999999</v>
      </c>
      <c r="AH52" t="n">
        <v>76.09999999999999</v>
      </c>
      <c r="AI52" t="n">
        <v>65.2</v>
      </c>
      <c r="AJ52" t="n">
        <v>62.2</v>
      </c>
      <c r="AK52" t="n">
        <v>62.2</v>
      </c>
      <c r="AL52" t="n">
        <v>60.1</v>
      </c>
      <c r="AM52" t="n">
        <v>59.1</v>
      </c>
      <c r="AN52" t="n">
        <v>60.1</v>
      </c>
      <c r="AO52" t="n">
        <v>54.3</v>
      </c>
    </row>
    <row r="53">
      <c r="A53" t="inlineStr">
        <is>
          <t xml:space="preserve">    Manag.,Tech.u.Ök. — Assistant Professors</t>
        </is>
      </c>
      <c r="B53" t="n">
        <v>1</v>
      </c>
      <c r="C53" t="n">
        <v>1</v>
      </c>
      <c r="D53" t="n">
        <v>2</v>
      </c>
      <c r="E53" t="n">
        <v>2</v>
      </c>
      <c r="F53" t="n">
        <v>1</v>
      </c>
      <c r="G53" t="n">
        <v>2</v>
      </c>
      <c r="H53" t="n">
        <v>3</v>
      </c>
      <c r="I53" t="n">
        <v>3</v>
      </c>
      <c r="J53" t="n">
        <v>3</v>
      </c>
      <c r="K53" t="n">
        <v>3</v>
      </c>
      <c r="L53" t="n">
        <v>4</v>
      </c>
      <c r="M53" t="n">
        <v>5</v>
      </c>
      <c r="N53" t="n">
        <v>4</v>
      </c>
      <c r="O53" t="n">
        <v>4</v>
      </c>
      <c r="P53" t="n">
        <v>3</v>
      </c>
      <c r="Q53" t="n">
        <v>2</v>
      </c>
      <c r="R53" t="n">
        <v>3</v>
      </c>
      <c r="S53" t="n">
        <v>1</v>
      </c>
      <c r="T53" t="n">
        <v>1</v>
      </c>
      <c r="U53" t="n">
        <v>2</v>
      </c>
      <c r="V53" t="n">
        <v>100</v>
      </c>
      <c r="W53" t="n">
        <v>100</v>
      </c>
      <c r="X53" t="n">
        <v>100</v>
      </c>
      <c r="Y53" t="n">
        <v>100</v>
      </c>
      <c r="Z53" t="n">
        <v>100</v>
      </c>
      <c r="AA53" t="n">
        <v>100</v>
      </c>
      <c r="AB53" t="n">
        <v>100</v>
      </c>
      <c r="AC53" t="n">
        <v>100</v>
      </c>
      <c r="AD53" t="n">
        <v>100</v>
      </c>
      <c r="AE53" t="n">
        <v>100</v>
      </c>
      <c r="AF53" t="n">
        <v>75</v>
      </c>
      <c r="AG53" t="n">
        <v>80</v>
      </c>
      <c r="AH53" t="n">
        <v>75</v>
      </c>
      <c r="AI53" t="n">
        <v>75</v>
      </c>
      <c r="AJ53" t="n">
        <v>66.7</v>
      </c>
      <c r="AK53" t="n">
        <v>50</v>
      </c>
      <c r="AL53" t="n">
        <v>66.7</v>
      </c>
      <c r="AM53" t="n">
        <v>100</v>
      </c>
      <c r="AN53" t="n">
        <v>100</v>
      </c>
      <c r="AO53" t="n">
        <v>100</v>
      </c>
    </row>
    <row r="54">
      <c r="A54" t="inlineStr">
        <is>
          <t xml:space="preserve">    Geistes-,Soz.u.St. — Full Professors</t>
        </is>
      </c>
      <c r="B54" t="n">
        <v>16</v>
      </c>
      <c r="C54" t="n">
        <v>16</v>
      </c>
      <c r="D54" t="n">
        <v>19</v>
      </c>
      <c r="E54" t="n">
        <v>19</v>
      </c>
      <c r="F54" t="n">
        <v>18</v>
      </c>
      <c r="G54" t="n">
        <v>18</v>
      </c>
      <c r="H54" t="n">
        <v>19</v>
      </c>
      <c r="I54" t="n">
        <v>20</v>
      </c>
      <c r="J54" t="n">
        <v>20</v>
      </c>
      <c r="K54" t="n">
        <v>19</v>
      </c>
      <c r="L54" t="n">
        <v>19</v>
      </c>
      <c r="M54" t="n">
        <v>22</v>
      </c>
      <c r="N54" t="n">
        <v>21</v>
      </c>
      <c r="O54" t="n">
        <v>21</v>
      </c>
      <c r="P54" t="n">
        <v>21</v>
      </c>
      <c r="Q54" t="n">
        <v>22</v>
      </c>
      <c r="R54" t="n">
        <v>23</v>
      </c>
      <c r="S54" t="n">
        <v>25</v>
      </c>
      <c r="T54" t="n">
        <v>25.5</v>
      </c>
      <c r="U54" t="n">
        <v>24</v>
      </c>
      <c r="V54" t="n">
        <v>62.5</v>
      </c>
      <c r="W54" t="n">
        <v>62.5</v>
      </c>
      <c r="X54" t="n">
        <v>68.40000000000001</v>
      </c>
      <c r="Y54" t="n">
        <v>68.40000000000001</v>
      </c>
      <c r="Z54" t="n">
        <v>72.2</v>
      </c>
      <c r="AA54" t="n">
        <v>72.2</v>
      </c>
      <c r="AB54" t="n">
        <v>73.7</v>
      </c>
      <c r="AC54" t="n">
        <v>75</v>
      </c>
      <c r="AD54" t="n">
        <v>75</v>
      </c>
      <c r="AE54" t="n">
        <v>73.7</v>
      </c>
      <c r="AF54" t="n">
        <v>73.7</v>
      </c>
      <c r="AG54" t="n">
        <v>72.7</v>
      </c>
      <c r="AH54" t="n">
        <v>76.2</v>
      </c>
      <c r="AI54" t="n">
        <v>76.2</v>
      </c>
      <c r="AJ54" t="n">
        <v>76.2</v>
      </c>
      <c r="AK54" t="n">
        <v>77.3</v>
      </c>
      <c r="AL54" t="n">
        <v>78.3</v>
      </c>
      <c r="AM54" t="n">
        <v>80</v>
      </c>
      <c r="AN54" t="n">
        <v>78.40000000000001</v>
      </c>
      <c r="AO54" t="n">
        <v>75</v>
      </c>
    </row>
    <row r="55">
      <c r="A55" t="inlineStr">
        <is>
          <t xml:space="preserve">    Geistes-,Soz.u.St. — Assistant Professors</t>
        </is>
      </c>
      <c r="B55" t="n">
        <v>1</v>
      </c>
      <c r="C55" t="n">
        <v>1</v>
      </c>
      <c r="D55" t="n">
        <v>2</v>
      </c>
      <c r="E55" t="n">
        <v>4</v>
      </c>
      <c r="F55" t="n">
        <v>4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2</v>
      </c>
      <c r="M55" t="n">
        <v>2</v>
      </c>
      <c r="N55" t="n">
        <v>3</v>
      </c>
      <c r="O55" t="n">
        <v>3</v>
      </c>
      <c r="P55" t="n">
        <v>2</v>
      </c>
      <c r="Q55" t="n">
        <v>3</v>
      </c>
      <c r="R55" t="n">
        <v>5</v>
      </c>
      <c r="S55" t="n">
        <v>6</v>
      </c>
      <c r="T55" t="n">
        <v>6</v>
      </c>
      <c r="U55" t="n">
        <v>5</v>
      </c>
      <c r="V55" t="inlineStr"/>
      <c r="W55" t="inlineStr"/>
      <c r="X55" t="n">
        <v>50</v>
      </c>
      <c r="Y55" t="n">
        <v>75</v>
      </c>
      <c r="Z55" t="n">
        <v>75</v>
      </c>
      <c r="AA55" t="n">
        <v>100</v>
      </c>
      <c r="AB55" t="n">
        <v>100</v>
      </c>
      <c r="AC55" t="n">
        <v>100</v>
      </c>
      <c r="AD55" t="n">
        <v>100</v>
      </c>
      <c r="AE55" t="n">
        <v>100</v>
      </c>
      <c r="AF55" t="n">
        <v>100</v>
      </c>
      <c r="AG55" t="n">
        <v>100</v>
      </c>
      <c r="AH55" t="n">
        <v>100</v>
      </c>
      <c r="AI55" t="n">
        <v>100</v>
      </c>
      <c r="AJ55" t="n">
        <v>100</v>
      </c>
      <c r="AK55" t="n">
        <v>100</v>
      </c>
      <c r="AL55" t="n">
        <v>100</v>
      </c>
      <c r="AM55" t="n">
        <v>100</v>
      </c>
      <c r="AN55" t="n">
        <v>100</v>
      </c>
      <c r="AO5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2026-04-23T05:09:17Z</dcterms:created>
  <dcterms:modified xmlns:dcterms="http://purl.org/dc/terms/" xmlns:xsi="http://www.w3.org/2001/XMLSchema-instance" xsi:type="dcterms:W3CDTF">2026-04-23T05:09:17Z</dcterms:modified>
</cp:coreProperties>
</file>